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Hoangmanhduc\France\Projet d'étude\Meta analysis of melanoma genomic\KQ\bản lưu trữ-JCAD\1 số bản file nháp\"/>
    </mc:Choice>
  </mc:AlternateContent>
  <xr:revisionPtr revIDLastSave="0" documentId="13_ncr:1_{A873D77B-AAAA-45A4-A674-E787B8141ACF}" xr6:coauthVersionLast="47" xr6:coauthVersionMax="47" xr10:uidLastSave="{00000000-0000-0000-0000-000000000000}"/>
  <bookViews>
    <workbookView showHorizontalScroll="0" showVerticalScroll="0" xWindow="-108" yWindow="-108" windowWidth="23256" windowHeight="13896" activeTab="1" xr2:uid="{332B6D4D-EE64-469E-B3F3-4FE594CDDE31}"/>
  </bookViews>
  <sheets>
    <sheet name="Synthesis" sheetId="20" r:id="rId1"/>
    <sheet name="Gene mutation" sheetId="2" r:id="rId2"/>
    <sheet name="Acral et non acral" sheetId="33" r:id="rId3"/>
    <sheet name="Sheet6" sheetId="26" state="hidden" r:id="rId4"/>
    <sheet name="Synthese articles" sheetId="1" state="hidden" r:id="rId5"/>
    <sheet name="Sheet9" sheetId="23" state="hidden" r:id="rId6"/>
    <sheet name="Sheet5" sheetId="21" state="hidden" r:id="rId7"/>
    <sheet name="VHL Methylation" sheetId="12" state="hidden" r:id="rId8"/>
    <sheet name="Gerlinger 2014" sheetId="14" state="hidden" r:id="rId9"/>
    <sheet name="Sheet4" sheetId="16" state="hidden" r:id="rId10"/>
    <sheet name="Gerlinger 2014 CNV" sheetId="15" state="hidden" r:id="rId11"/>
    <sheet name="sato.2013" sheetId="5" state="hidden" r:id="rId12"/>
    <sheet name="Ginger 2012" sheetId="6" state="hidden" r:id="rId13"/>
    <sheet name="Liu 2019" sheetId="7" state="hidden" r:id="rId14"/>
    <sheet name="Warsow 2018" sheetId="8" state="hidden" r:id="rId15"/>
    <sheet name="Sheet1" sheetId="9" state="hidden" r:id="rId16"/>
    <sheet name="Sheet2" sheetId="10" state="hidden" r:id="rId17"/>
    <sheet name="Sheet3" sheetId="11" state="hidden" r:id="rId18"/>
  </sheets>
  <definedNames>
    <definedName name="_xlnm._FilterDatabase" localSheetId="1" hidden="1">'Gene mutation'!$A$2:$GX$57</definedName>
    <definedName name="_xlnm._FilterDatabase" localSheetId="6" hidden="1">Sheet5!$G$60:$H$118</definedName>
    <definedName name="_xlnm._FilterDatabase" localSheetId="4" hidden="1">'Synthese articles'!$A$2:$N$98</definedName>
    <definedName name="_xlnm._FilterDatabase" localSheetId="0" hidden="1">Synthesis!$A$2:$V$49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8" i="26" l="1"/>
  <c r="E98" i="26"/>
  <c r="C98" i="26"/>
  <c r="I2" i="23" l="1"/>
  <c r="I3" i="23"/>
  <c r="I4" i="23"/>
  <c r="I5" i="23"/>
  <c r="I6" i="23"/>
  <c r="I7" i="23"/>
  <c r="I8" i="23"/>
  <c r="I9" i="23"/>
  <c r="I10" i="23"/>
  <c r="I11" i="23"/>
  <c r="I12" i="23"/>
  <c r="I13" i="23"/>
  <c r="I14" i="23"/>
  <c r="I15" i="23"/>
  <c r="I16" i="23"/>
  <c r="I17" i="23"/>
  <c r="I18" i="23"/>
  <c r="I19" i="23"/>
  <c r="I20" i="23"/>
  <c r="I21" i="23"/>
  <c r="I22" i="23"/>
  <c r="I23" i="23"/>
  <c r="I24" i="23"/>
  <c r="I25" i="23"/>
  <c r="I26" i="23"/>
  <c r="I27" i="23"/>
  <c r="I28" i="23"/>
  <c r="I29" i="23"/>
  <c r="I30" i="23"/>
  <c r="I31" i="23"/>
  <c r="I32" i="23"/>
  <c r="I33" i="23"/>
  <c r="I34" i="23"/>
  <c r="I35" i="23"/>
  <c r="I36" i="23"/>
  <c r="I37" i="23"/>
  <c r="I38" i="23"/>
  <c r="I39" i="23"/>
  <c r="I40" i="23"/>
  <c r="I41" i="23"/>
  <c r="I42" i="23"/>
  <c r="I43" i="23"/>
  <c r="I44" i="23"/>
  <c r="I45" i="23"/>
  <c r="I46" i="23"/>
  <c r="I47" i="23"/>
  <c r="I48" i="23"/>
  <c r="I49" i="23"/>
  <c r="I50" i="23"/>
  <c r="I51" i="23"/>
  <c r="I52" i="23"/>
  <c r="I53" i="23"/>
  <c r="I54" i="23"/>
  <c r="I55" i="23"/>
  <c r="I56" i="23"/>
  <c r="I57" i="23"/>
  <c r="I58" i="23"/>
  <c r="I59" i="23"/>
  <c r="I60" i="23"/>
  <c r="I61" i="23"/>
  <c r="I62" i="23"/>
  <c r="I63" i="23"/>
  <c r="I64" i="23"/>
  <c r="I65" i="23"/>
  <c r="I66" i="23"/>
  <c r="I67" i="23"/>
  <c r="I68" i="23"/>
  <c r="I69" i="23"/>
  <c r="I70" i="23"/>
  <c r="I71" i="23"/>
  <c r="I72" i="23"/>
  <c r="I73" i="23"/>
  <c r="I74" i="23"/>
  <c r="I75" i="23"/>
  <c r="I76" i="23"/>
  <c r="I77" i="23"/>
  <c r="I78" i="23"/>
  <c r="I79" i="23"/>
  <c r="I80" i="23"/>
  <c r="I81" i="23"/>
  <c r="I82" i="23"/>
  <c r="I83" i="23"/>
  <c r="I84" i="23"/>
  <c r="I85" i="23"/>
  <c r="I86" i="23"/>
  <c r="I87" i="23"/>
  <c r="I88" i="23"/>
  <c r="I89" i="23"/>
  <c r="I90" i="23"/>
  <c r="I91" i="23"/>
  <c r="I92" i="23"/>
  <c r="I93" i="23"/>
  <c r="I94" i="23"/>
  <c r="I95" i="23"/>
  <c r="I1" i="23"/>
  <c r="H119" i="21" l="1"/>
  <c r="I119" i="21" s="1"/>
  <c r="G119" i="21"/>
  <c r="G57" i="21"/>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2" i="21"/>
  <c r="I57" i="21" l="1"/>
  <c r="J57" i="21" s="1"/>
  <c r="G98" i="1" l="1"/>
  <c r="C98" i="1"/>
  <c r="E98" i="1"/>
  <c r="R6" i="8" l="1"/>
  <c r="S6" i="8"/>
  <c r="R7" i="8"/>
  <c r="S7" i="8" s="1"/>
  <c r="R8" i="8"/>
  <c r="S8" i="8"/>
  <c r="R9" i="8"/>
  <c r="S9" i="8"/>
  <c r="R10" i="8"/>
  <c r="S10" i="8" s="1"/>
  <c r="R11" i="8"/>
  <c r="S11" i="8"/>
  <c r="R12" i="8"/>
  <c r="S12" i="8"/>
  <c r="R13" i="8"/>
  <c r="S13" i="8" s="1"/>
  <c r="R14" i="8"/>
  <c r="S14" i="8"/>
  <c r="R4" i="8"/>
  <c r="S4" i="8" s="1"/>
  <c r="R5" i="8"/>
  <c r="S5" i="8" s="1"/>
  <c r="R3" i="8"/>
  <c r="S3" i="8" s="1"/>
  <c r="F2" i="7"/>
  <c r="G10" i="7"/>
  <c r="F10" i="7"/>
  <c r="G9" i="7"/>
  <c r="F9" i="7"/>
  <c r="L29" i="6" l="1"/>
  <c r="M7" i="6"/>
  <c r="L2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Oanh Bui</author>
  </authors>
  <commentList>
    <comment ref="A17" authorId="0" shapeId="0" xr:uid="{DC8D0AA2-A6BF-42C3-8706-BD2F223BEE8B}">
      <text>
        <r>
          <rPr>
            <b/>
            <sz val="9"/>
            <color indexed="81"/>
            <rFont val="Tahoma"/>
            <family val="2"/>
          </rPr>
          <t>Oanh Bui:</t>
        </r>
        <r>
          <rPr>
            <sz val="9"/>
            <color indexed="81"/>
            <rFont val="Tahoma"/>
            <family val="2"/>
          </rPr>
          <t xml:space="preserve">
DNA methylation and patient outcome
</t>
        </r>
      </text>
    </comment>
    <comment ref="A22" authorId="0" shapeId="0" xr:uid="{E79C2BE4-95B8-4DA6-B154-04A860A9C9B4}">
      <text>
        <r>
          <rPr>
            <b/>
            <sz val="9"/>
            <color indexed="81"/>
            <rFont val="Tahoma"/>
            <family val="2"/>
          </rPr>
          <t>Oanh Bui:</t>
        </r>
        <r>
          <rPr>
            <sz val="9"/>
            <color indexed="81"/>
            <rFont val="Tahoma"/>
            <family val="2"/>
          </rPr>
          <t xml:space="preserve">
ccRCC
</t>
        </r>
      </text>
    </comment>
    <comment ref="A24" authorId="0" shapeId="0" xr:uid="{358D0B7A-9427-4EE3-9141-94911ADC2F49}">
      <text>
        <r>
          <rPr>
            <b/>
            <sz val="9"/>
            <color indexed="81"/>
            <rFont val="Tahoma"/>
            <family val="2"/>
          </rPr>
          <t>Oanh Bui:</t>
        </r>
        <r>
          <rPr>
            <sz val="9"/>
            <color indexed="81"/>
            <rFont val="Tahoma"/>
            <family val="2"/>
          </rPr>
          <t xml:space="preserve">
prognostic factor of loss 9p
</t>
        </r>
      </text>
    </comment>
    <comment ref="A25" authorId="0" shapeId="0" xr:uid="{4597E238-69FF-4465-9DDA-6634010BD71B}">
      <text>
        <r>
          <rPr>
            <b/>
            <sz val="9"/>
            <color indexed="81"/>
            <rFont val="Tahoma"/>
            <family val="2"/>
          </rPr>
          <t>Oanh Bui:</t>
        </r>
        <r>
          <rPr>
            <sz val="9"/>
            <color indexed="81"/>
            <rFont val="Tahoma"/>
            <family val="2"/>
          </rPr>
          <t xml:space="preserve">
poor prognosis of loss 3p25
</t>
        </r>
      </text>
    </comment>
    <comment ref="A27" authorId="0" shapeId="0" xr:uid="{D0F6E640-B855-42C1-8C86-5CB621B15621}">
      <text>
        <r>
          <rPr>
            <b/>
            <sz val="9"/>
            <color indexed="81"/>
            <rFont val="Tahoma"/>
            <family val="2"/>
          </rPr>
          <t>Oanh Bui:</t>
        </r>
        <r>
          <rPr>
            <sz val="9"/>
            <color indexed="81"/>
            <rFont val="Tahoma"/>
            <family val="2"/>
          </rPr>
          <t xml:space="preserve">
loss 14q poor prognosis
</t>
        </r>
      </text>
    </comment>
    <comment ref="M38" authorId="0" shapeId="0" xr:uid="{845ACDD3-9EA3-437F-BC08-F3265AB929B4}">
      <text>
        <r>
          <rPr>
            <b/>
            <sz val="9"/>
            <color indexed="81"/>
            <rFont val="Tahoma"/>
            <family val="2"/>
          </rPr>
          <t>Oanh Bui:</t>
        </r>
        <r>
          <rPr>
            <sz val="9"/>
            <color indexed="81"/>
            <rFont val="Tahoma"/>
            <family val="2"/>
          </rPr>
          <t xml:space="preserve">
có tỉ lệ nam nữ mutated nhưng ns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Oanh Bui</author>
  </authors>
  <commentList>
    <comment ref="B38" authorId="0" shapeId="0" xr:uid="{AC36D8AB-84F5-47F6-AF78-2A2515D4DDC3}">
      <text>
        <r>
          <rPr>
            <b/>
            <sz val="9"/>
            <color indexed="81"/>
            <rFont val="Tahoma"/>
            <family val="2"/>
          </rPr>
          <t>Oanh Bui:</t>
        </r>
        <r>
          <rPr>
            <sz val="9"/>
            <color indexed="81"/>
            <rFont val="Tahoma"/>
            <family val="2"/>
          </rPr>
          <t xml:space="preserve">
ccRCC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Oanh Bui</author>
  </authors>
  <commentList>
    <comment ref="B38" authorId="0" shapeId="0" xr:uid="{9F11D03C-5A9D-4BE7-9622-5D1C9B513814}">
      <text>
        <r>
          <rPr>
            <b/>
            <sz val="9"/>
            <color indexed="81"/>
            <rFont val="Tahoma"/>
            <family val="2"/>
          </rPr>
          <t>Oanh Bui:</t>
        </r>
        <r>
          <rPr>
            <sz val="9"/>
            <color indexed="81"/>
            <rFont val="Tahoma"/>
            <family val="2"/>
          </rPr>
          <t xml:space="preserve">
ccRCC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Oanh Bui</author>
  </authors>
  <commentList>
    <comment ref="G117" authorId="0" shapeId="0" xr:uid="{EA079C2E-DA4F-4A72-83FA-B3AE4CBE06BE}">
      <text>
        <r>
          <rPr>
            <b/>
            <sz val="9"/>
            <color indexed="81"/>
            <rFont val="Tahoma"/>
            <family val="2"/>
          </rPr>
          <t>Oanh Bui:</t>
        </r>
        <r>
          <rPr>
            <sz val="9"/>
            <color indexed="81"/>
            <rFont val="Tahoma"/>
            <family val="2"/>
          </rPr>
          <t xml:space="preserve">
có tỉ lệ nam nữ mutated nhưng ns
</t>
        </r>
      </text>
    </comment>
  </commentList>
</comments>
</file>

<file path=xl/sharedStrings.xml><?xml version="1.0" encoding="utf-8"?>
<sst xmlns="http://schemas.openxmlformats.org/spreadsheetml/2006/main" count="3295" uniqueCount="745">
  <si>
    <t>Author</t>
  </si>
  <si>
    <t>Patient</t>
  </si>
  <si>
    <t>N</t>
  </si>
  <si>
    <t>Sample</t>
  </si>
  <si>
    <t>Methodology</t>
  </si>
  <si>
    <t xml:space="preserve">- Sanger sequecing to detect VHL mutation
- Flow Cytometry Determination of DNA Content (FACS)
- Driver Panel Library Construction and Targeted Sequencing
- Whole Exome Library Construction and Sequencing
- SNV, and INDEL calling from multi-region DP and multi-region WE sequencing
- SCNA calling from multi-region DP and multi-region WE sequencing
</t>
  </si>
  <si>
    <t>- Micro-dissection and nucleic acid isolation (HUC extension cohort)
- Methylation specific PCR
- Regional staining by Immunohistochemistry and Digital Image Analysis of Ki67
- Flow Cytometry Determination of DNA Content (FACS)
- Detection of allelic imbalance at the HLA locus
- Targeted Driver Panel (DP) design and validation
- Driver Panel Library Construction and Targeted Sequencing
- Targeted DP library construction and sequencing (HUC cohort)
- SNV and INDEL calling from multi-region DP sequencing
- SCNA calling from multi-region DP sequencing
- MSK validation cohort</t>
  </si>
  <si>
    <t>-NGS was used by Integrated Mutation Profiling of Actionable Cancer Targets (MSK-IMPACT) assay</t>
  </si>
  <si>
    <t>- Whole-exome and RNA sequencing: was performed by using target capture with SureSelect v.4.
- Global DNA methylation profiles were analyzed using the Infinium HumanMethylation450 BeadChip
- Immunohistochemistry used mouse monoclonal antibody against HIF-1α 
- Cell cuture and Quantitative RT PCR</t>
  </si>
  <si>
    <t>- Whole-exome multiregion spatial sequencing on DNA
- SNP assay was analyzed on Illumia plasform.</t>
  </si>
  <si>
    <t>12 (9 primary tumors, 3 metastases)</t>
  </si>
  <si>
    <t>-  The enrichment of gene ontology (GO) terms was analyzed for all the driver genes on the homepage of geneontology
- RNA-sequencing</t>
  </si>
  <si>
    <t>- Immunohistochemisty, fluorescence in sity hybridization
- NGS was performed by using the TruSeq Amplicon Cancer Panel
- The methylation-specific multiplex ligation-dependent probe
amplification (MLPA) (MS-MLPA) was used to detect CpG methylation islands in VHL gene promotor.
- Array-CGH was performed using the standard version of the Agilent Human Genome CGH microarray 180K</t>
  </si>
  <si>
    <t>- RNA sequencing
- DNA methylation arrays
- miRNA sequencing
- Affymetrix SNP arrays
- exome sequencing
- reverse phase protein arrays</t>
  </si>
  <si>
    <t>- DNA isolation and amplificaiton
- Comparative genomic hybridization</t>
  </si>
  <si>
    <t>TT</t>
  </si>
  <si>
    <t xml:space="preserve">-Target NGS was performed </t>
  </si>
  <si>
    <t>Mutation frequency in primary tumor</t>
  </si>
  <si>
    <t>Mutation frequency in metastase</t>
  </si>
  <si>
    <t>VHL</t>
  </si>
  <si>
    <t>PBRM1</t>
  </si>
  <si>
    <t>SETD2</t>
  </si>
  <si>
    <t>BAP1</t>
  </si>
  <si>
    <t>KDM5C</t>
  </si>
  <si>
    <t>MTOR</t>
  </si>
  <si>
    <t>CSMD3</t>
  </si>
  <si>
    <t>TP53</t>
  </si>
  <si>
    <t>TSC1</t>
  </si>
  <si>
    <t>PTEN</t>
  </si>
  <si>
    <t>TSC2</t>
  </si>
  <si>
    <t>ARID1A</t>
  </si>
  <si>
    <t>TCEB1</t>
  </si>
  <si>
    <t>PIK3CA</t>
  </si>
  <si>
    <t>1p36.11</t>
  </si>
  <si>
    <t>3p25.3</t>
  </si>
  <si>
    <t>4q34.3</t>
  </si>
  <si>
    <t>6q22.33</t>
  </si>
  <si>
    <t>8p23.2</t>
  </si>
  <si>
    <t>9p21.3</t>
  </si>
  <si>
    <t>14q31.1</t>
  </si>
  <si>
    <t>1q25.1</t>
  </si>
  <si>
    <t>2q14.3</t>
  </si>
  <si>
    <t>5q35.3</t>
  </si>
  <si>
    <t>7q22.3</t>
  </si>
  <si>
    <t>8q24.21</t>
  </si>
  <si>
    <t>12p11.21</t>
  </si>
  <si>
    <t>20q13.33</t>
  </si>
  <si>
    <t>Multiple</t>
  </si>
  <si>
    <t>Gene</t>
  </si>
  <si>
    <t>Missense mutations</t>
  </si>
  <si>
    <t>Nonsense, indel orsplicing mutations</t>
  </si>
  <si>
    <t>Total mutations</t>
  </si>
  <si>
    <t>Samples</t>
  </si>
  <si>
    <r>
      <t>Passenger probability (</t>
    </r>
    <r>
      <rPr>
        <b/>
        <i/>
        <sz val="11"/>
        <color theme="1"/>
        <rFont val="Segoe UI"/>
        <family val="2"/>
      </rPr>
      <t>P</t>
    </r>
    <r>
      <rPr>
        <b/>
        <sz val="11"/>
        <color theme="1"/>
        <rFont val="Segoe UI"/>
        <family val="2"/>
      </rPr>
      <t> value)</t>
    </r>
  </si>
  <si>
    <r>
      <t>q</t>
    </r>
    <r>
      <rPr>
        <b/>
        <sz val="11"/>
        <color theme="1"/>
        <rFont val="Segoe UI"/>
        <family val="2"/>
      </rPr>
      <t> value</t>
    </r>
  </si>
  <si>
    <r>
      <t>1.32 × 10</t>
    </r>
    <r>
      <rPr>
        <sz val="6"/>
        <color theme="1"/>
        <rFont val="Segoe UI"/>
        <family val="2"/>
      </rPr>
      <t>−102</t>
    </r>
  </si>
  <si>
    <r>
      <t>1.03 × 10</t>
    </r>
    <r>
      <rPr>
        <sz val="6"/>
        <color theme="1"/>
        <rFont val="Segoe UI"/>
        <family val="2"/>
      </rPr>
      <t>−99</t>
    </r>
  </si>
  <si>
    <r>
      <t>2.63 × 10</t>
    </r>
    <r>
      <rPr>
        <sz val="6"/>
        <color theme="1"/>
        <rFont val="Segoe UI"/>
        <family val="2"/>
      </rPr>
      <t>−36</t>
    </r>
  </si>
  <si>
    <r>
      <t>1.02 × 10</t>
    </r>
    <r>
      <rPr>
        <sz val="6"/>
        <color theme="1"/>
        <rFont val="Segoe UI"/>
        <family val="2"/>
      </rPr>
      <t>−33</t>
    </r>
  </si>
  <si>
    <r>
      <t>1.82 × 10</t>
    </r>
    <r>
      <rPr>
        <sz val="6"/>
        <color theme="1"/>
        <rFont val="Segoe UI"/>
        <family val="2"/>
      </rPr>
      <t>−9</t>
    </r>
  </si>
  <si>
    <r>
      <t>4.71 × 10</t>
    </r>
    <r>
      <rPr>
        <sz val="6"/>
        <color theme="1"/>
        <rFont val="Segoe UI"/>
        <family val="2"/>
      </rPr>
      <t>−7</t>
    </r>
  </si>
  <si>
    <r>
      <t>7.07 × 10</t>
    </r>
    <r>
      <rPr>
        <sz val="6"/>
        <color theme="1"/>
        <rFont val="Segoe UI"/>
        <family val="2"/>
      </rPr>
      <t>−9</t>
    </r>
  </si>
  <si>
    <r>
      <t>1.37 × 10</t>
    </r>
    <r>
      <rPr>
        <sz val="6"/>
        <color theme="1"/>
        <rFont val="Segoe UI"/>
        <family val="2"/>
      </rPr>
      <t>−6</t>
    </r>
  </si>
  <si>
    <r>
      <t>2.06 × 10</t>
    </r>
    <r>
      <rPr>
        <sz val="6"/>
        <color theme="1"/>
        <rFont val="Segoe UI"/>
        <family val="2"/>
      </rPr>
      <t>−8</t>
    </r>
  </si>
  <si>
    <r>
      <t>3.20 × 10</t>
    </r>
    <r>
      <rPr>
        <sz val="6"/>
        <color theme="1"/>
        <rFont val="Segoe UI"/>
        <family val="2"/>
      </rPr>
      <t>−6</t>
    </r>
  </si>
  <si>
    <t>FPGT</t>
  </si>
  <si>
    <r>
      <t>1.13 × 10</t>
    </r>
    <r>
      <rPr>
        <sz val="6"/>
        <color theme="1"/>
        <rFont val="Segoe UI"/>
        <family val="2"/>
      </rPr>
      <t>−7</t>
    </r>
  </si>
  <si>
    <r>
      <t>1.46 × 10</t>
    </r>
    <r>
      <rPr>
        <sz val="6"/>
        <color theme="1"/>
        <rFont val="Segoe UI"/>
        <family val="2"/>
      </rPr>
      <t>−5</t>
    </r>
  </si>
  <si>
    <t>MUDENG</t>
  </si>
  <si>
    <r>
      <t>3.38 × 10</t>
    </r>
    <r>
      <rPr>
        <sz val="6"/>
        <color theme="1"/>
        <rFont val="Segoe UI"/>
        <family val="2"/>
      </rPr>
      <t>−7</t>
    </r>
  </si>
  <si>
    <r>
      <t>3.75 × 10</t>
    </r>
    <r>
      <rPr>
        <sz val="6"/>
        <color theme="1"/>
        <rFont val="Segoe UI"/>
        <family val="2"/>
      </rPr>
      <t>−5</t>
    </r>
  </si>
  <si>
    <t>KEAP1</t>
  </si>
  <si>
    <r>
      <t>5.95 × 10</t>
    </r>
    <r>
      <rPr>
        <sz val="6"/>
        <color theme="1"/>
        <rFont val="Segoe UI"/>
        <family val="2"/>
      </rPr>
      <t>−5</t>
    </r>
  </si>
  <si>
    <r>
      <t>5.78 × 10</t>
    </r>
    <r>
      <rPr>
        <sz val="6"/>
        <color theme="1"/>
        <rFont val="Segoe UI"/>
        <family val="2"/>
      </rPr>
      <t>−3</t>
    </r>
  </si>
  <si>
    <t>TET2</t>
  </si>
  <si>
    <r>
      <t>5.59 × 10</t>
    </r>
    <r>
      <rPr>
        <sz val="6"/>
        <color theme="1"/>
        <rFont val="Segoe UI"/>
        <family val="2"/>
      </rPr>
      <t>−5</t>
    </r>
  </si>
  <si>
    <r>
      <t>4.83 × 10</t>
    </r>
    <r>
      <rPr>
        <sz val="6"/>
        <color theme="1"/>
        <rFont val="Segoe UI"/>
        <family val="2"/>
      </rPr>
      <t>−3</t>
    </r>
  </si>
  <si>
    <t>MUC4</t>
  </si>
  <si>
    <r>
      <t>1.02 × 10</t>
    </r>
    <r>
      <rPr>
        <sz val="6"/>
        <color theme="1"/>
        <rFont val="Segoe UI"/>
        <family val="2"/>
      </rPr>
      <t>−4</t>
    </r>
  </si>
  <si>
    <r>
      <t>7.91 × 10</t>
    </r>
    <r>
      <rPr>
        <sz val="6"/>
        <color theme="1"/>
        <rFont val="Segoe UI"/>
        <family val="2"/>
      </rPr>
      <t>−3</t>
    </r>
  </si>
  <si>
    <t>MLLT10</t>
  </si>
  <si>
    <r>
      <t>2.30 × 10</t>
    </r>
    <r>
      <rPr>
        <sz val="6"/>
        <color theme="1"/>
        <rFont val="Segoe UI"/>
        <family val="2"/>
      </rPr>
      <t>−4</t>
    </r>
  </si>
  <si>
    <r>
      <t>1.62 × 10</t>
    </r>
    <r>
      <rPr>
        <sz val="6"/>
        <color theme="1"/>
        <rFont val="Segoe UI"/>
        <family val="2"/>
      </rPr>
      <t>−2</t>
    </r>
  </si>
  <si>
    <t>MSGN1</t>
  </si>
  <si>
    <r>
      <t>2.85 × 10</t>
    </r>
    <r>
      <rPr>
        <sz val="6"/>
        <color theme="1"/>
        <rFont val="Segoe UI"/>
        <family val="2"/>
      </rPr>
      <t>−4</t>
    </r>
  </si>
  <si>
    <r>
      <t>1.85 × 10</t>
    </r>
    <r>
      <rPr>
        <sz val="6"/>
        <color theme="1"/>
        <rFont val="Segoe UI"/>
        <family val="2"/>
      </rPr>
      <t>−2</t>
    </r>
  </si>
  <si>
    <t>KRT32</t>
  </si>
  <si>
    <r>
      <t>2.21 × 10</t>
    </r>
    <r>
      <rPr>
        <sz val="6"/>
        <color theme="1"/>
        <rFont val="Segoe UI"/>
        <family val="2"/>
      </rPr>
      <t>−4</t>
    </r>
  </si>
  <si>
    <r>
      <t>1.32 × 10</t>
    </r>
    <r>
      <rPr>
        <sz val="6"/>
        <color theme="1"/>
        <rFont val="Segoe UI"/>
        <family val="2"/>
      </rPr>
      <t>−2</t>
    </r>
  </si>
  <si>
    <t>M6PR</t>
  </si>
  <si>
    <r>
      <t>2.77 × 10</t>
    </r>
    <r>
      <rPr>
        <sz val="6"/>
        <color theme="1"/>
        <rFont val="Segoe UI"/>
        <family val="2"/>
      </rPr>
      <t>−4</t>
    </r>
  </si>
  <si>
    <r>
      <t>1.54 × 10</t>
    </r>
    <r>
      <rPr>
        <sz val="6"/>
        <color theme="1"/>
        <rFont val="Segoe UI"/>
        <family val="2"/>
      </rPr>
      <t>−2</t>
    </r>
  </si>
  <si>
    <t>RPL14</t>
  </si>
  <si>
    <r>
      <t>3.90 × 10</t>
    </r>
    <r>
      <rPr>
        <sz val="6"/>
        <color theme="1"/>
        <rFont val="Segoe UI"/>
        <family val="2"/>
      </rPr>
      <t>−4</t>
    </r>
  </si>
  <si>
    <r>
      <t>2.02 × 10</t>
    </r>
    <r>
      <rPr>
        <sz val="6"/>
        <color theme="1"/>
        <rFont val="Segoe UI"/>
        <family val="2"/>
      </rPr>
      <t>−2</t>
    </r>
  </si>
  <si>
    <t>GRB7</t>
  </si>
  <si>
    <r>
      <t>4.20 × 10</t>
    </r>
    <r>
      <rPr>
        <sz val="6"/>
        <color theme="1"/>
        <rFont val="Segoe UI"/>
        <family val="2"/>
      </rPr>
      <t>−4</t>
    </r>
  </si>
  <si>
    <r>
      <t>2.04 × 10</t>
    </r>
    <r>
      <rPr>
        <sz val="6"/>
        <color theme="1"/>
        <rFont val="Segoe UI"/>
        <family val="2"/>
      </rPr>
      <t>−2</t>
    </r>
  </si>
  <si>
    <r>
      <t>3.85 × 10</t>
    </r>
    <r>
      <rPr>
        <sz val="6"/>
        <color theme="1"/>
        <rFont val="Segoe UI"/>
        <family val="2"/>
      </rPr>
      <t>−4</t>
    </r>
  </si>
  <si>
    <r>
      <t>1.76 × 10</t>
    </r>
    <r>
      <rPr>
        <sz val="6"/>
        <color theme="1"/>
        <rFont val="Segoe UI"/>
        <family val="2"/>
      </rPr>
      <t>−2</t>
    </r>
  </si>
  <si>
    <r>
      <t>7.08 × 10</t>
    </r>
    <r>
      <rPr>
        <sz val="6"/>
        <color theme="1"/>
        <rFont val="Segoe UI"/>
        <family val="2"/>
      </rPr>
      <t>−4</t>
    </r>
  </si>
  <si>
    <r>
      <t>3.06 × 10</t>
    </r>
    <r>
      <rPr>
        <sz val="6"/>
        <color theme="1"/>
        <rFont val="Segoe UI"/>
        <family val="2"/>
      </rPr>
      <t>−2</t>
    </r>
  </si>
  <si>
    <t>DNHD1</t>
  </si>
  <si>
    <r>
      <t>6.44 × 10</t>
    </r>
    <r>
      <rPr>
        <sz val="6"/>
        <color theme="1"/>
        <rFont val="Segoe UI"/>
        <family val="2"/>
      </rPr>
      <t>−4</t>
    </r>
  </si>
  <si>
    <r>
      <t>2.64 × 10</t>
    </r>
    <r>
      <rPr>
        <sz val="6"/>
        <color theme="1"/>
        <rFont val="Segoe UI"/>
        <family val="2"/>
      </rPr>
      <t>−2</t>
    </r>
  </si>
  <si>
    <r>
      <t>6.90 × 10</t>
    </r>
    <r>
      <rPr>
        <sz val="6"/>
        <color theme="1"/>
        <rFont val="Segoe UI"/>
        <family val="2"/>
      </rPr>
      <t>−4</t>
    </r>
  </si>
  <si>
    <r>
      <t>2.68 × 10</t>
    </r>
    <r>
      <rPr>
        <sz val="6"/>
        <color theme="1"/>
        <rFont val="Segoe UI"/>
        <family val="2"/>
      </rPr>
      <t>−2</t>
    </r>
  </si>
  <si>
    <t>NLRP12</t>
  </si>
  <si>
    <r>
      <t>8.93 × 10</t>
    </r>
    <r>
      <rPr>
        <sz val="6"/>
        <color theme="1"/>
        <rFont val="Segoe UI"/>
        <family val="2"/>
      </rPr>
      <t>−4</t>
    </r>
  </si>
  <si>
    <r>
      <t>3.31 × 10</t>
    </r>
    <r>
      <rPr>
        <sz val="6"/>
        <color theme="1"/>
        <rFont val="Segoe UI"/>
        <family val="2"/>
      </rPr>
      <t>−2</t>
    </r>
  </si>
  <si>
    <t>VMO1</t>
  </si>
  <si>
    <r>
      <t>9.89 × 10</t>
    </r>
    <r>
      <rPr>
        <sz val="6"/>
        <color theme="1"/>
        <rFont val="Segoe UI"/>
        <family val="2"/>
      </rPr>
      <t>−4</t>
    </r>
  </si>
  <si>
    <r>
      <t>3.49 × 10</t>
    </r>
    <r>
      <rPr>
        <sz val="6"/>
        <color theme="1"/>
        <rFont val="Segoe UI"/>
        <family val="2"/>
      </rPr>
      <t>−2</t>
    </r>
  </si>
  <si>
    <t>OR4C13</t>
  </si>
  <si>
    <r>
      <t>1.10 × 10</t>
    </r>
    <r>
      <rPr>
        <sz val="6"/>
        <color theme="1"/>
        <rFont val="Segoe UI"/>
        <family val="2"/>
      </rPr>
      <t>−3</t>
    </r>
  </si>
  <si>
    <r>
      <t>3.72 × 10</t>
    </r>
    <r>
      <rPr>
        <sz val="6"/>
        <color theme="1"/>
        <rFont val="Segoe UI"/>
        <family val="2"/>
      </rPr>
      <t>−2</t>
    </r>
  </si>
  <si>
    <t>KCNMA1</t>
  </si>
  <si>
    <r>
      <t>1.24 × 10</t>
    </r>
    <r>
      <rPr>
        <sz val="6"/>
        <color theme="1"/>
        <rFont val="Segoe UI"/>
        <family val="2"/>
      </rPr>
      <t>−3</t>
    </r>
  </si>
  <si>
    <r>
      <t>4.00 × 10</t>
    </r>
    <r>
      <rPr>
        <sz val="6"/>
        <color theme="1"/>
        <rFont val="Segoe UI"/>
        <family val="2"/>
      </rPr>
      <t>−2</t>
    </r>
  </si>
  <si>
    <t>LMAN2L</t>
  </si>
  <si>
    <r>
      <t>1.69 × 10</t>
    </r>
    <r>
      <rPr>
        <sz val="6"/>
        <color theme="1"/>
        <rFont val="Segoe UI"/>
        <family val="2"/>
      </rPr>
      <t>−3</t>
    </r>
  </si>
  <si>
    <r>
      <t>5.24 × 10</t>
    </r>
    <r>
      <rPr>
        <sz val="6"/>
        <color theme="1"/>
        <rFont val="Segoe UI"/>
        <family val="2"/>
      </rPr>
      <t>−2</t>
    </r>
  </si>
  <si>
    <r>
      <t>1.44 × 10</t>
    </r>
    <r>
      <rPr>
        <sz val="6"/>
        <color theme="1"/>
        <rFont val="Segoe UI"/>
        <family val="2"/>
      </rPr>
      <t>−3</t>
    </r>
  </si>
  <si>
    <r>
      <t>4.31 × 10</t>
    </r>
    <r>
      <rPr>
        <sz val="6"/>
        <color theme="1"/>
        <rFont val="Segoe UI"/>
        <family val="2"/>
      </rPr>
      <t>−2</t>
    </r>
  </si>
  <si>
    <t>ZNF536</t>
  </si>
  <si>
    <r>
      <t>1.63 × 10</t>
    </r>
    <r>
      <rPr>
        <sz val="6"/>
        <color theme="1"/>
        <rFont val="Segoe UI"/>
        <family val="2"/>
      </rPr>
      <t>−3</t>
    </r>
  </si>
  <si>
    <r>
      <t>4.70 × 10</t>
    </r>
    <r>
      <rPr>
        <sz val="6"/>
        <color theme="1"/>
        <rFont val="Segoe UI"/>
        <family val="2"/>
      </rPr>
      <t>−2</t>
    </r>
  </si>
  <si>
    <t>YIPF3</t>
  </si>
  <si>
    <r>
      <t>1.57 × 10</t>
    </r>
    <r>
      <rPr>
        <sz val="6"/>
        <color theme="1"/>
        <rFont val="Segoe UI"/>
        <family val="2"/>
      </rPr>
      <t>−3</t>
    </r>
  </si>
  <si>
    <r>
      <t>4.36 × 10</t>
    </r>
    <r>
      <rPr>
        <sz val="6"/>
        <color theme="1"/>
        <rFont val="Segoe UI"/>
        <family val="2"/>
      </rPr>
      <t>−2</t>
    </r>
  </si>
  <si>
    <t>-</t>
  </si>
  <si>
    <t>M2b</t>
  </si>
  <si>
    <t>M2a</t>
  </si>
  <si>
    <t>M</t>
  </si>
  <si>
    <t>R4</t>
  </si>
  <si>
    <t>R9</t>
  </si>
  <si>
    <t>R8</t>
  </si>
  <si>
    <t>R5</t>
  </si>
  <si>
    <t>R2</t>
  </si>
  <si>
    <t>R1</t>
  </si>
  <si>
    <t>Type</t>
  </si>
  <si>
    <t>Patient 1</t>
  </si>
  <si>
    <t>x</t>
  </si>
  <si>
    <t>U</t>
  </si>
  <si>
    <t>PT</t>
  </si>
  <si>
    <t>PT/M</t>
  </si>
  <si>
    <t>Patient 2</t>
  </si>
  <si>
    <t>R7</t>
  </si>
  <si>
    <t>R6</t>
  </si>
  <si>
    <t>R3</t>
  </si>
  <si>
    <t>mtor</t>
  </si>
  <si>
    <t>Tumor 1</t>
  </si>
  <si>
    <t>Tumor 2</t>
  </si>
  <si>
    <t>Tumor 3</t>
  </si>
  <si>
    <t>Tumor 4</t>
  </si>
  <si>
    <t>TM 1</t>
  </si>
  <si>
    <t>TM2</t>
  </si>
  <si>
    <t>Patient 3</t>
  </si>
  <si>
    <t>Patient 4</t>
  </si>
  <si>
    <t>TM 3</t>
  </si>
  <si>
    <t>TM5</t>
  </si>
  <si>
    <t>TM4</t>
  </si>
  <si>
    <t>Patient 5</t>
  </si>
  <si>
    <t>Total</t>
  </si>
  <si>
    <t>NF2</t>
  </si>
  <si>
    <t>14q32</t>
  </si>
  <si>
    <t>9q34</t>
  </si>
  <si>
    <t>19q13</t>
  </si>
  <si>
    <t>6q25</t>
  </si>
  <si>
    <t>10q26</t>
  </si>
  <si>
    <t>6p21</t>
  </si>
  <si>
    <t>10q23</t>
  </si>
  <si>
    <t>5q31</t>
  </si>
  <si>
    <t>7q36</t>
  </si>
  <si>
    <t>5q15</t>
  </si>
  <si>
    <t>12q24</t>
  </si>
  <si>
    <t>21q22</t>
  </si>
  <si>
    <t>1q21</t>
  </si>
  <si>
    <t>17q25</t>
  </si>
  <si>
    <t>ROS1</t>
  </si>
  <si>
    <t>ERBB3</t>
  </si>
  <si>
    <t xml:space="preserve">Targeted sequencing based on the Single Primed Enrichment Technique as implemented in the Ovation™ Target Enrichment System (NuGEN, San Carlos, CA, USA). 
- WES was performed using the ThruPLEX™-Fd Prep Kit (Rubicon, Ann Arbor, MI, USA) followed by exome capturing using SureSelectAll exon V2™ (Agilent, Santa Clara, CA, USA)
- CNA was effected by array CGH 
</t>
  </si>
  <si>
    <t xml:space="preserve">- Single nucleotide variant (SNV) and small insertion-deletion (INDEL) using a stand-alone version of Oncotator. Copy numbers were called using the intersection of the copy number calls derived from Sequenza and VarScan2. Tumor purities and ploidies were calculated based on the calls of Sequenza using WES data with default parameters. </t>
  </si>
  <si>
    <t>- Single-nucleotide polymorphism (SNP) array was performed to ensure that tumor region used was phenotypically homogeneous to maximize the percentage of malignant cells.
- Genome-Wide Human SNP Array 6.0 (Affymetrix, Santa Clara, CA), containing more than 906,600 single nucleotide polymorphism (SNP) probes and more than 946,000 probes for detection of copy number variation, was used as the hybridization target</t>
  </si>
  <si>
    <t>3p26.3p21</t>
  </si>
  <si>
    <t>- Paired-end read sequences were aligned to human genome hg19 (UCSC) using the Burrows-Wheeler Aligner (BWA), after which they were sorted and merged by SAMtools. Picard (v1.76) was applied to fix mate pairs and mark and discard duplicates . Next, realignment of all insertions and deletions (INDELs) and base quality recalibration were carried out using the Genome Analysis Toolkit. Somatic substitutions (SNV) were called using the MuTect module in GATK with normal kidney tissue or blood samples from the same patient as the control group. InDels were detected by the GATK Unified Genotyper</t>
  </si>
  <si>
    <t>Hu F, 2019</t>
  </si>
  <si>
    <t>- A multi-omics analysis is performed to build a multi-gene prognosis signature for KIRC</t>
  </si>
  <si>
    <t>-Whole exome sequecing</t>
  </si>
  <si>
    <t>- Targeted gene sequencing was performed by the KAPA Hyper Kit and sequenced on a HiSeq 2500 sequencer (Illumina)</t>
  </si>
  <si>
    <t>- Chromosome microarray analyzed using Affymetrix Cytogenetics 2.7M arrays, and samples examined after April 2012 were analyzed using Affymetrix CytoScan HD arrays</t>
  </si>
  <si>
    <t>Next-generation sequencing were used to detect the genomic variations. The capture pulldown and exon-wide libraries
from native DNA using the 556 NGS panel and TruePrep DNA Library Prep Kit V2 for Illumina, and then generated paired-end sequence data using Illumina HiSeq machines</t>
  </si>
  <si>
    <t>TNN</t>
  </si>
  <si>
    <t>ABCA1</t>
  </si>
  <si>
    <t>UGT1A1</t>
  </si>
  <si>
    <t>- ctDNA panel sequencing, which were performed by the The TargetSeq plaform</t>
  </si>
  <si>
    <t>1q21.3</t>
  </si>
  <si>
    <t>20q11.21</t>
  </si>
  <si>
    <t>Stenehjem, 2019</t>
  </si>
  <si>
    <t>Bihr S, 2019</t>
  </si>
  <si>
    <t>Clonal heterogeneity</t>
  </si>
  <si>
    <t>Mitchel TJ, 2018</t>
  </si>
  <si>
    <t xml:space="preserve">-DNA sequencing and alignment was performed with the HiSeq X Ten system according to Illumina protocols
- Single-nucleotide substitutions were called using the CaVEMan
- Capillary sequencing validation of TERT mutations
- Inference of chromothripsis
- Assumption of constant mutation rate
- Gene expression analysis
</t>
  </si>
  <si>
    <t>Nouhaud FX, 2018</t>
  </si>
  <si>
    <t>-The analysis of the CNV panel was completed in 47 of 50 patients</t>
  </si>
  <si>
    <t>3q21.3</t>
  </si>
  <si>
    <t>2q37.3</t>
  </si>
  <si>
    <t>6q26</t>
  </si>
  <si>
    <t>14q11.2</t>
  </si>
  <si>
    <t>5q15.33</t>
  </si>
  <si>
    <t>5q33.1</t>
  </si>
  <si>
    <t>7q11.2</t>
  </si>
  <si>
    <t>12q13.2-q14.1</t>
  </si>
  <si>
    <t>compare primary tumor-metastasis</t>
  </si>
  <si>
    <t>Wei X, 2017</t>
  </si>
  <si>
    <t>- Encoding sequence regions of the VHL gene were
amplified with primers flanking exons 1-3. PCR products were treated with alkaline phosphatase (1 U) and E. coli exonuclease I (4 U) to remove the nonreacting primers and deoxynucleotide triphosphates. PCR products were subjected to Sanger sequencing with BigDye Terminator v. 3.1 Cycle Sequencing kit. Fluorescent-labeled products of the reaction were detected on a 24-capillary genetic analyzer 3500xl.</t>
  </si>
  <si>
    <t>Li J, 2017</t>
  </si>
  <si>
    <t>3p22.2</t>
  </si>
  <si>
    <t>5q35.1</t>
  </si>
  <si>
    <t>Kouba EJ, 2016</t>
  </si>
  <si>
    <t>- MSK-IMPACT (MSKCC Integrated Mutation Profiling of Actionable Cancer Targets), a hybridization-based exon
capture assay of select introns and commonly altered oncogenes and tumor suppressor genes
- Sanger and genome sequencing</t>
  </si>
  <si>
    <t>Lim SM, 2016</t>
  </si>
  <si>
    <t>Togo Y, 2016</t>
  </si>
  <si>
    <t xml:space="preserve">- Target sequencing for paraffin-embedded (FFPE) was performed by Tape station (Agilent) and sequenced by Ion ProtonTM System.
- Sanger sequencing </t>
  </si>
  <si>
    <t>- SNP array was performed using HumanCytoSNP 
- Mutation screening was performed on 36 of these
RCCs using a TruSeq Amplicon cancer panel (Illumina
Inc).The sequences were processed through MiSeq Reporter (Illumina Inc.)</t>
  </si>
  <si>
    <t>3p26.3-p24.3</t>
  </si>
  <si>
    <t>3q</t>
  </si>
  <si>
    <t>3p</t>
  </si>
  <si>
    <t>1p</t>
  </si>
  <si>
    <t>5q</t>
  </si>
  <si>
    <t>6q</t>
  </si>
  <si>
    <t>7p</t>
  </si>
  <si>
    <t>7q</t>
  </si>
  <si>
    <t>8p</t>
  </si>
  <si>
    <t>9p</t>
  </si>
  <si>
    <t>9q</t>
  </si>
  <si>
    <t>10q</t>
  </si>
  <si>
    <t>14q</t>
  </si>
  <si>
    <t>Kang XL, 2015</t>
  </si>
  <si>
    <t>- Comparative genomic hybridization was performed according to the manufacturer’s protocol (Vysis Inc., U.S)
- A fluorescence microscope equipped with appropriate filters (DAPI, FITC, and Cy3) was used to visualize the signals. For each hybridization panel, raw images from at least 5 metaphases were captured through a computer-driven CCD camera and analyzed with ISIS image software (Carl Zeiss Inc., Germany).</t>
  </si>
  <si>
    <t>1p11-22</t>
  </si>
  <si>
    <t>1p31-ter</t>
  </si>
  <si>
    <t>3p11-14</t>
  </si>
  <si>
    <t>3p20-ter</t>
  </si>
  <si>
    <t>4p12-ter</t>
  </si>
  <si>
    <t>4q</t>
  </si>
  <si>
    <t>9q12-33</t>
  </si>
  <si>
    <t>10p12-ter</t>
  </si>
  <si>
    <t>13p</t>
  </si>
  <si>
    <t>13q12-22</t>
  </si>
  <si>
    <t>17p12-ter</t>
  </si>
  <si>
    <t>18q12-23</t>
  </si>
  <si>
    <t>19q</t>
  </si>
  <si>
    <t>1p11-13</t>
  </si>
  <si>
    <t>1p20-32</t>
  </si>
  <si>
    <t>3p11-ter</t>
  </si>
  <si>
    <t>3q13-29</t>
  </si>
  <si>
    <t>4q21-32</t>
  </si>
  <si>
    <t>5q21-ter</t>
  </si>
  <si>
    <t>7p13-ter</t>
  </si>
  <si>
    <t>7q11</t>
  </si>
  <si>
    <t>7q21-22</t>
  </si>
  <si>
    <t>8p12-ter</t>
  </si>
  <si>
    <t>8q20-ter</t>
  </si>
  <si>
    <t>912-31</t>
  </si>
  <si>
    <t>12p11-ter</t>
  </si>
  <si>
    <t>12q14-ter</t>
  </si>
  <si>
    <t>16p12-13</t>
  </si>
  <si>
    <t>16q21-24</t>
  </si>
  <si>
    <t>17q12-ter</t>
  </si>
  <si>
    <t>20p</t>
  </si>
  <si>
    <t>20q12-ter</t>
  </si>
  <si>
    <t>Kanu N, 2015</t>
  </si>
  <si>
    <t>8p23</t>
  </si>
  <si>
    <t>Muscarella LA, 2013</t>
  </si>
  <si>
    <t>LOH, Methylation specific PCR analysis</t>
  </si>
  <si>
    <t>- PCR amplification was performed for the entire VHL coding sequencing and the promoter region with tumor fixed paraffin miscrodissected
- Sequencing reactions were loaded on an ABI 3100 capillary sequencer.</t>
  </si>
  <si>
    <t>TCGA, 2013</t>
  </si>
  <si>
    <t>- Exome sequencing was used Sanger sequencing</t>
  </si>
  <si>
    <t>Guo G, 2011</t>
  </si>
  <si>
    <t>- Illumina-based exon sequensing was used to determin the genes mutation frequencies.</t>
  </si>
  <si>
    <t xml:space="preserve"> - Aberrant genomic regions were identifed by genome-wide copy number </t>
  </si>
  <si>
    <t>Dondeti VR 2012</t>
  </si>
  <si>
    <t>Moore LR, 2011</t>
  </si>
  <si>
    <t>Monzon FA, 2011</t>
  </si>
  <si>
    <t>- Immunohistochemistry
- Real time PCR was performed for transcriptomic analysis</t>
  </si>
  <si>
    <t>5p</t>
  </si>
  <si>
    <r>
      <t xml:space="preserve">- PCR was use to identify </t>
    </r>
    <r>
      <rPr>
        <i/>
        <sz val="12"/>
        <color theme="1"/>
        <rFont val="Arial"/>
        <family val="2"/>
      </rPr>
      <t>VHL</t>
    </r>
    <r>
      <rPr>
        <sz val="12"/>
        <color theme="1"/>
        <rFont val="Arial"/>
        <family val="2"/>
      </rPr>
      <t xml:space="preserve"> mutation</t>
    </r>
  </si>
  <si>
    <r>
      <t xml:space="preserve">- PCR was performed to determine of </t>
    </r>
    <r>
      <rPr>
        <i/>
        <sz val="12"/>
        <color theme="1"/>
        <rFont val="Arial"/>
        <family val="2"/>
      </rPr>
      <t>VHL</t>
    </r>
    <r>
      <rPr>
        <sz val="12"/>
        <color theme="1"/>
        <rFont val="Arial"/>
        <family val="2"/>
      </rPr>
      <t xml:space="preserve"> coding sequences</t>
    </r>
  </si>
  <si>
    <t>- Capillary-based Sanger sequencing</t>
  </si>
  <si>
    <t>- FISH</t>
  </si>
  <si>
    <t>Kuroda N, 2010</t>
  </si>
  <si>
    <t>Chen M, 2009</t>
  </si>
  <si>
    <t>13q</t>
  </si>
  <si>
    <t>22q</t>
  </si>
  <si>
    <t>1q</t>
  </si>
  <si>
    <t>8q</t>
  </si>
  <si>
    <t>12p</t>
  </si>
  <si>
    <t>12q</t>
  </si>
  <si>
    <t>Cheng L, 2008</t>
  </si>
  <si>
    <t>Arai E, 2008</t>
  </si>
  <si>
    <t>3p14.3-3p21.1</t>
  </si>
  <si>
    <t>5q35.2</t>
  </si>
  <si>
    <t>7p14</t>
  </si>
  <si>
    <t>12q13.1</t>
  </si>
  <si>
    <t>12q13.2-12q13.3</t>
  </si>
  <si>
    <t>16p13.3</t>
  </si>
  <si>
    <t>16q11.2-16q12.1</t>
  </si>
  <si>
    <t>20p11.2-20p12</t>
  </si>
  <si>
    <t>20q13.1</t>
  </si>
  <si>
    <t>8p12</t>
  </si>
  <si>
    <t>18q21.32</t>
  </si>
  <si>
    <r>
      <t xml:space="preserve">- PCR sequencing to identify </t>
    </r>
    <r>
      <rPr>
        <i/>
        <sz val="12"/>
        <color theme="1"/>
        <rFont val="Arial"/>
        <family val="2"/>
      </rPr>
      <t xml:space="preserve">VHL </t>
    </r>
    <r>
      <rPr>
        <sz val="12"/>
        <color theme="1"/>
        <rFont val="Arial"/>
        <family val="2"/>
      </rPr>
      <t>mutation</t>
    </r>
  </si>
  <si>
    <t>Smits KM, 2008</t>
  </si>
  <si>
    <r>
      <t xml:space="preserve">- </t>
    </r>
    <r>
      <rPr>
        <i/>
        <sz val="12"/>
        <color theme="1"/>
        <rFont val="Arial"/>
        <family val="2"/>
      </rPr>
      <t>VHL</t>
    </r>
    <r>
      <rPr>
        <sz val="12"/>
        <color theme="1"/>
        <rFont val="Arial"/>
        <family val="2"/>
      </rPr>
      <t xml:space="preserve"> mutations were determined with PCR single-strand conformational polymorphism and direct sequencing</t>
    </r>
  </si>
  <si>
    <t>- SNP mapping arrays was used to assemble a genome-wide map of DNA copy number alterations and LOH areas</t>
  </si>
  <si>
    <t>1p36.32-376.31</t>
  </si>
  <si>
    <t>3p26.3-26.2</t>
  </si>
  <si>
    <t>3p25.3-25.1</t>
  </si>
  <si>
    <t>9q33.3-34.1</t>
  </si>
  <si>
    <t>22q13.1-13.2</t>
  </si>
  <si>
    <t>4q15.1-13.1</t>
  </si>
  <si>
    <t>4q26-q28.1</t>
  </si>
  <si>
    <t>5q15.2</t>
  </si>
  <si>
    <t>5q15.1-14.1</t>
  </si>
  <si>
    <t>5q11.2-12.3</t>
  </si>
  <si>
    <t>5q14.3-21.3</t>
  </si>
  <si>
    <t>5q23.1-34</t>
  </si>
  <si>
    <t>7p21.3-21.2</t>
  </si>
  <si>
    <t>7q21.3-21.2</t>
  </si>
  <si>
    <t>7q21.11</t>
  </si>
  <si>
    <t>7q31.31-31.32</t>
  </si>
  <si>
    <t>11p15.1-12.1</t>
  </si>
  <si>
    <t>q14.2-22.3</t>
  </si>
  <si>
    <t>12q12-15</t>
  </si>
  <si>
    <t>12q21.31-23.1</t>
  </si>
  <si>
    <t>14q21.1-21.3</t>
  </si>
  <si>
    <t>16q11.2-11.1</t>
  </si>
  <si>
    <t>19p12-11</t>
  </si>
  <si>
    <t>22p13-11.2</t>
  </si>
  <si>
    <t>7q11.22-q35</t>
  </si>
  <si>
    <t>16p12.3-13.2</t>
  </si>
  <si>
    <t>3p21.31-22.3</t>
  </si>
  <si>
    <t>3p14.1-14.2</t>
  </si>
  <si>
    <t>8p23.3</t>
  </si>
  <si>
    <t>9q21.13-ter</t>
  </si>
  <si>
    <r>
      <t xml:space="preserve">- The </t>
    </r>
    <r>
      <rPr>
        <i/>
        <sz val="12"/>
        <color theme="1"/>
        <rFont val="Arial"/>
        <family val="2"/>
      </rPr>
      <t>VHL</t>
    </r>
    <r>
      <rPr>
        <sz val="12"/>
        <color theme="1"/>
        <rFont val="Arial"/>
        <family val="2"/>
      </rPr>
      <t xml:space="preserve"> gene were amplified by polymerase chain reaction and subjected to automatic sequencing</t>
    </r>
  </si>
  <si>
    <t>Brunelli M, 2008</t>
  </si>
  <si>
    <t>-FISH was use to analysis the loss of chromosome 9p</t>
  </si>
  <si>
    <t>Nagao K, 2005</t>
  </si>
  <si>
    <t>-FISH was use to analysis the loss and gain of chromosome 3p, 5q</t>
  </si>
  <si>
    <t>5q22.3-23.2</t>
  </si>
  <si>
    <t>Kim JH, 2005</t>
  </si>
  <si>
    <r>
      <t xml:space="preserve">- PCR was peformed to detect </t>
    </r>
    <r>
      <rPr>
        <i/>
        <sz val="12"/>
        <color theme="1"/>
        <rFont val="Arial"/>
        <family val="2"/>
      </rPr>
      <t>VHL</t>
    </r>
    <r>
      <rPr>
        <sz val="12"/>
        <color theme="1"/>
        <rFont val="Arial"/>
        <family val="2"/>
      </rPr>
      <t xml:space="preserve"> mutation</t>
    </r>
  </si>
  <si>
    <t>14q24-31</t>
  </si>
  <si>
    <t>Junker K, 2004</t>
  </si>
  <si>
    <t xml:space="preserve"> -PCR and CGH</t>
  </si>
  <si>
    <t>Kallio JP, 2004</t>
  </si>
  <si>
    <t>- CGH and MIB-1 assay were used to identify the chromosomes alberation</t>
  </si>
  <si>
    <t>- PCR</t>
  </si>
  <si>
    <t>8p21.1</t>
  </si>
  <si>
    <t>8p21.3</t>
  </si>
  <si>
    <t>8p22</t>
  </si>
  <si>
    <t>- Microsatellite analysis</t>
  </si>
  <si>
    <t>Junker K, 2003</t>
  </si>
  <si>
    <t>Fuknaga K, 2002</t>
  </si>
  <si>
    <t>- Flluorescent multiplex polymerase chain reaction</t>
  </si>
  <si>
    <t>Presti JC, 2002</t>
  </si>
  <si>
    <t>- Microsatellite loss of heterozygosity (LOH) was performed to detect alleclic loss on chromosomes.</t>
  </si>
  <si>
    <t>3p26-25</t>
  </si>
  <si>
    <t>Parry L, 2001</t>
  </si>
  <si>
    <t>Grady B, 2001</t>
  </si>
  <si>
    <t xml:space="preserve">- PCR to dectect the loss of heterozygosity </t>
  </si>
  <si>
    <t>- CGH</t>
  </si>
  <si>
    <t>18q</t>
  </si>
  <si>
    <t>16q</t>
  </si>
  <si>
    <t>3p21</t>
  </si>
  <si>
    <t>- WES used  Integrated DNA Technologies for CM-010 and the SureSelectXT v5 Kit (Agilent). Hybridization
and capture were performed using the relevant components of Illumina’s Rapid Capture Enrichment Kit.  Libraries were then quantitatively and qualitatively evaluated using qPCR and Agilent’s D1000 Assay using the TapeStation (Agilent), respectively. Finally, equimolar amounts of libraries were pooled and sequenced using Illumina HiSeq2500</t>
  </si>
  <si>
    <t>- FISH was performed using commercially available FISH probes for chromosomal regions 1q21.3, 7q36.3, 20q11.21q12, and 9p21.3.</t>
  </si>
  <si>
    <t>- Cytogenetic tumor analysis</t>
  </si>
  <si>
    <t>- NGS</t>
  </si>
  <si>
    <t>- WES was analyzed by Integrated Mutation Profiling of Actionable Cancer Targets (MSK-IMPACT)</t>
  </si>
  <si>
    <t>- WGS and WES</t>
  </si>
  <si>
    <t>Method</t>
  </si>
  <si>
    <t>No</t>
  </si>
  <si>
    <t>Yes</t>
  </si>
  <si>
    <t>Type tumor (Fixation/
cogelation)</t>
  </si>
  <si>
    <t>Mutple sample (Yes/No)</t>
  </si>
  <si>
    <t>Yes/No</t>
  </si>
  <si>
    <t>NGS</t>
  </si>
  <si>
    <t>Patient (N)</t>
  </si>
  <si>
    <t>clonal architecture</t>
  </si>
  <si>
    <t>- Next generation sequencing</t>
  </si>
  <si>
    <t>-Next generation sequencing</t>
  </si>
  <si>
    <t>TERT</t>
  </si>
  <si>
    <t>-NGS was performed by using he MSK-IMPACT assay.</t>
  </si>
  <si>
    <t>Heterogeneity</t>
  </si>
  <si>
    <t>10 patients, in which: EV: 9 samples, EV002: 6 samples, EV007: 7 samples, KR26: 9 samples, RMH002: 4 samples, RMH008: 6 samples, EV006: 8 samples, RMH004: 3 samples, EV005: 7 samples, EV003: 5 samples</t>
  </si>
  <si>
    <t>missense mutation in the VHL gene</t>
  </si>
  <si>
    <t>HIF</t>
  </si>
  <si>
    <t>compare primary and metastates (using ICH 31, Ki67) using to discussion</t>
  </si>
  <si>
    <t>- WGS
- Driver genes and pathways were predicted by OncodriveFM and Dendrix.
- SNP array</t>
  </si>
  <si>
    <t>TCGA</t>
  </si>
  <si>
    <t>Wang Y, 2016</t>
  </si>
  <si>
    <t>Razafinjatovo C, 2016</t>
  </si>
  <si>
    <t>- VHL was sequenced by using PCR</t>
  </si>
  <si>
    <t>HIF alpha</t>
  </si>
  <si>
    <t>- Target sequencing was effectued on an Illuminal MiSeq
- Microsatellits (MS) genotyping was performed to identify chromosome 3p alteration</t>
  </si>
  <si>
    <t>- MSI analyses
- NGS</t>
  </si>
  <si>
    <t xml:space="preserve">- Direct sequencing was performed to determine the mutation data
</t>
  </si>
  <si>
    <t xml:space="preserve">- Whole-genome sequencing 
</t>
  </si>
  <si>
    <t xml:space="preserve"> -VHL mutation was identified by Sanger sequencing</t>
  </si>
  <si>
    <t xml:space="preserve">- M-seq multiregion exome sequencing was performed with the Agilent SureSelectHuman All Exon and on the Illumina HiSeq platform.
</t>
  </si>
  <si>
    <t>EV001</t>
  </si>
  <si>
    <t>M1</t>
  </si>
  <si>
    <t>EV002</t>
  </si>
  <si>
    <t>EV003</t>
  </si>
  <si>
    <t>RMH004</t>
  </si>
  <si>
    <t>VT</t>
  </si>
  <si>
    <t>EV005</t>
  </si>
  <si>
    <t>EV006</t>
  </si>
  <si>
    <t>LN1a</t>
  </si>
  <si>
    <t>LN1b</t>
  </si>
  <si>
    <t>EV007</t>
  </si>
  <si>
    <t>RMH002</t>
  </si>
  <si>
    <t>RMH008</t>
  </si>
  <si>
    <t>RK26</t>
  </si>
  <si>
    <t>1p36</t>
  </si>
  <si>
    <t>1p25.1</t>
  </si>
  <si>
    <t>- Cytogenetic (band technique)</t>
  </si>
  <si>
    <t>- FISH and cytogenetic (band technique)</t>
  </si>
  <si>
    <t xml:space="preserve"> -SNP-CGH array
</t>
  </si>
  <si>
    <t>LOH</t>
  </si>
  <si>
    <t>- CGH array
- FISH</t>
  </si>
  <si>
    <t>Hirata H, 2005</t>
  </si>
  <si>
    <t>- Microsatellite analysis was performed to dertermine the LOH on 18q</t>
  </si>
  <si>
    <t>-Microsatellite analysis</t>
  </si>
  <si>
    <t>CNA</t>
  </si>
  <si>
    <t>VHL mutation and its methylation</t>
  </si>
  <si>
    <t>- PCR- SSCP</t>
  </si>
  <si>
    <t>Metastasis</t>
  </si>
  <si>
    <t>Mitsumori K, 2002</t>
  </si>
  <si>
    <t>VHL mutation and its methylation
LOH</t>
  </si>
  <si>
    <t>- DNA-SSCP was used to identify the VHL alteration
- PCR-microsatellite was analyzed to detect LOH</t>
  </si>
  <si>
    <t>Schrmal P, 2002</t>
  </si>
  <si>
    <t>- PCR sequencing</t>
  </si>
  <si>
    <t>VHL mutation and compare with ICH Ki67 and CD34</t>
  </si>
  <si>
    <t>LOH of 3p, 8p and 9p</t>
  </si>
  <si>
    <t>- PCR-SSCP analysis and sequencing were performed to dectec the intergenic somatic mutation</t>
  </si>
  <si>
    <t>TSC1, TSC2 mutation</t>
  </si>
  <si>
    <t xml:space="preserve">LOH </t>
  </si>
  <si>
    <t>Maestro ML, 2000</t>
  </si>
  <si>
    <t>Velickovic M,1999</t>
  </si>
  <si>
    <t>- Comaparative genomic hybridization 
- Microsatellite analysis to detect LOH</t>
  </si>
  <si>
    <t>- Microsatellite analysis to detect LOH</t>
  </si>
  <si>
    <t>- PCR-SSCP analysis</t>
  </si>
  <si>
    <t>VHL mutation</t>
  </si>
  <si>
    <t>Genomic result</t>
  </si>
  <si>
    <t>Primary tumor</t>
  </si>
  <si>
    <t>- PCR-SSCP</t>
  </si>
  <si>
    <t>Tp53 mutation</t>
  </si>
  <si>
    <t>Type tumor (Fixation/
congelation)</t>
  </si>
  <si>
    <t>Metastatic samples 
(N)</t>
  </si>
  <si>
    <t>- Establishment of patients-devired cells
- Exome sequencing: Exome capture was
performed using the Nimblegen Agilent SureSelect v5 capture kit (Agilent Technologies, Santa Clara, CA). Sequencing was executed using a HiSeq 2500 instrument (Illumina, San Diego, CA).</t>
  </si>
  <si>
    <t>- Whole exome sequencing was performed by GATC Biotech
- Copy number alterations (CNAs) were inferred from whole exome sequencing data with cnvKit version 0.8.6 (git repository hash: 85774ac)27 with default parameter settings
- Somatic SNV calls from the TCGA KIRC-US
cohort32 were downloaded from https://portal.gdc.cancer.gov/legacyarchive/fles/3e93f2c1–559f-4747-9c53-30589dbc03f7</t>
  </si>
  <si>
    <t>Hakimi AA, 2020</t>
  </si>
  <si>
    <t>Braun DA, 2020</t>
  </si>
  <si>
    <t>Ferronika P, 2020</t>
  </si>
  <si>
    <t>Correa A, 2020</t>
  </si>
  <si>
    <t>Wang XM, 2020</t>
  </si>
  <si>
    <t>Clark DJ, 2019</t>
  </si>
  <si>
    <t>Nassar AH, 2019</t>
  </si>
  <si>
    <t>Nejati R, 2019</t>
  </si>
  <si>
    <t>Palmbo C, 2019</t>
  </si>
  <si>
    <t>Zhang S, 2019</t>
  </si>
  <si>
    <t>Chen J, 2019</t>
  </si>
  <si>
    <t>Grimm J, 2019</t>
  </si>
  <si>
    <t>Huang J, 2019</t>
  </si>
  <si>
    <t>Li J, 2019</t>
  </si>
  <si>
    <t>Saeed K, 2019</t>
  </si>
  <si>
    <t>de Velasco G, 2018</t>
  </si>
  <si>
    <t>Turajlic S, 2018</t>
  </si>
  <si>
    <t>Manley BJ, 2017</t>
  </si>
  <si>
    <t>Becerra MF, 2018</t>
  </si>
  <si>
    <t>Casuscelli J, 2019</t>
  </si>
  <si>
    <t>Mikhailenko DS, 2017</t>
  </si>
  <si>
    <t>Dagher J, 2017</t>
  </si>
  <si>
    <t>Kohn L, 2015</t>
  </si>
  <si>
    <t>Scelo G, 2014</t>
  </si>
  <si>
    <t>Alves MR, 2014</t>
  </si>
  <si>
    <t>Gerlinger MR, 2014</t>
  </si>
  <si>
    <t>Sato Y, 2013</t>
  </si>
  <si>
    <t>Peña-Llopis S, 2012</t>
  </si>
  <si>
    <t>Gerlinger MR, 2012</t>
  </si>
  <si>
    <t>Rechsteiner MP, 2011</t>
  </si>
  <si>
    <t>Varela I, 2011</t>
  </si>
  <si>
    <t>La Rochelle J, 2010</t>
  </si>
  <si>
    <t>Nickerson ML, 2008</t>
  </si>
  <si>
    <t>Cifola I, 2008</t>
  </si>
  <si>
    <t>Yoshimoto T, 2007</t>
  </si>
  <si>
    <t>Gime´nez-Bachs JM, 2007</t>
  </si>
  <si>
    <t>Sanz-casla MT, 2003</t>
  </si>
  <si>
    <t>Yamaguchi S, 2003</t>
  </si>
  <si>
    <t>Sukosd F, 2003</t>
  </si>
  <si>
    <t>Yao M, 2002</t>
  </si>
  <si>
    <t>Kondo K, 2002</t>
  </si>
  <si>
    <t>Reutzel D, 2001</t>
  </si>
  <si>
    <t>Junker K, 2000</t>
  </si>
  <si>
    <t>Bissig H, 1999</t>
  </si>
  <si>
    <t>Gallou C, 1999</t>
  </si>
  <si>
    <t>Kawasaki T, 1999</t>
  </si>
  <si>
    <t>Voss MH,2018</t>
  </si>
  <si>
    <t>Warsow G, 2018</t>
  </si>
  <si>
    <t>Kaku H, 2004</t>
  </si>
  <si>
    <t>Mutilple sample (Yes/No)</t>
  </si>
  <si>
    <t xml:space="preserve"> - Gain/loss was evaluated by array-CGH (Agilent 4x180K), copy number alterations (CNAs) were assessed using Nexus Copy Number Algorithm.  
- NGS</t>
  </si>
  <si>
    <t>- Profiles of SCNAs with the whole-exome or whole-genome sequencing data using ReCapSeg.</t>
  </si>
  <si>
    <t>Beuselinck, 2015</t>
  </si>
  <si>
    <t>Age</t>
  </si>
  <si>
    <t>Female</t>
  </si>
  <si>
    <t>Male</t>
  </si>
  <si>
    <t>Tumor burden score</t>
  </si>
  <si>
    <t>Fraction geome altered</t>
  </si>
  <si>
    <t>Ethinic</t>
  </si>
  <si>
    <t>age</t>
  </si>
  <si>
    <t>male</t>
  </si>
  <si>
    <t>Ethnic</t>
  </si>
  <si>
    <t>Treatment</t>
  </si>
  <si>
    <t>Non treatment</t>
  </si>
  <si>
    <t>Time to biopsy</t>
  </si>
  <si>
    <t>BRAF</t>
  </si>
  <si>
    <t>NRAS</t>
  </si>
  <si>
    <t>NF1</t>
  </si>
  <si>
    <t>ARID2</t>
  </si>
  <si>
    <t>CDKN2A</t>
  </si>
  <si>
    <t>ITGA4</t>
  </si>
  <si>
    <t>MSR1</t>
  </si>
  <si>
    <t>PPP6C</t>
  </si>
  <si>
    <t>RAC1</t>
  </si>
  <si>
    <t>DDX3X</t>
  </si>
  <si>
    <t>KNSTRN</t>
  </si>
  <si>
    <t>IDH1</t>
  </si>
  <si>
    <t>RAPGEF5</t>
  </si>
  <si>
    <t>MAP2K1</t>
  </si>
  <si>
    <t>CTNNB1</t>
  </si>
  <si>
    <t>COL9A2</t>
  </si>
  <si>
    <t>RB1</t>
  </si>
  <si>
    <t>LRRC37A3</t>
  </si>
  <si>
    <t>B2M</t>
  </si>
  <si>
    <t>Fixation</t>
  </si>
  <si>
    <t>Metastatic site</t>
  </si>
  <si>
    <t>KIT</t>
  </si>
  <si>
    <t>SF3B1</t>
  </si>
  <si>
    <t>KRAS</t>
  </si>
  <si>
    <t>RASA2</t>
  </si>
  <si>
    <t>MAP2K2</t>
  </si>
  <si>
    <t>GNAQ</t>
  </si>
  <si>
    <t>HRAS</t>
  </si>
  <si>
    <t>ATM</t>
  </si>
  <si>
    <t>MET</t>
  </si>
  <si>
    <t>APC</t>
  </si>
  <si>
    <t>CDH1</t>
  </si>
  <si>
    <t>EGFR</t>
  </si>
  <si>
    <t>ERBB4</t>
  </si>
  <si>
    <t>STK11</t>
  </si>
  <si>
    <t>ERBB2</t>
  </si>
  <si>
    <t>PDGFRA</t>
  </si>
  <si>
    <t>SMARCB1</t>
  </si>
  <si>
    <t>RAD50</t>
  </si>
  <si>
    <t>ALK</t>
  </si>
  <si>
    <t>MSH6</t>
  </si>
  <si>
    <t>AXIN2</t>
  </si>
  <si>
    <t>HDAC2</t>
  </si>
  <si>
    <t>NOTCH1</t>
  </si>
  <si>
    <t>FGFR3</t>
  </si>
  <si>
    <t>MUTYH</t>
  </si>
  <si>
    <t>PMS1</t>
  </si>
  <si>
    <t>BRAC2</t>
  </si>
  <si>
    <t>BRIP1</t>
  </si>
  <si>
    <t>CBL</t>
  </si>
  <si>
    <t>CCND1</t>
  </si>
  <si>
    <t>CDK12</t>
  </si>
  <si>
    <t>CHEK2</t>
  </si>
  <si>
    <t>EZH2</t>
  </si>
  <si>
    <t>FAN1</t>
  </si>
  <si>
    <t>FANCA</t>
  </si>
  <si>
    <t>FANCM</t>
  </si>
  <si>
    <t>FGFR2</t>
  </si>
  <si>
    <t>HNF1A</t>
  </si>
  <si>
    <t>MCPH1</t>
  </si>
  <si>
    <t>NCOR1</t>
  </si>
  <si>
    <t>NTRK1</t>
  </si>
  <si>
    <t>POLD1</t>
  </si>
  <si>
    <t>RAF1</t>
  </si>
  <si>
    <t>Population</t>
  </si>
  <si>
    <t>BRAF V600E</t>
  </si>
  <si>
    <t>KDR</t>
  </si>
  <si>
    <t>IDH</t>
  </si>
  <si>
    <t>APM</t>
  </si>
  <si>
    <t>FLT3</t>
  </si>
  <si>
    <t>PTPN11</t>
  </si>
  <si>
    <t>FBXW7</t>
  </si>
  <si>
    <t>RET</t>
  </si>
  <si>
    <t>CSF1R</t>
  </si>
  <si>
    <t>GNAS</t>
  </si>
  <si>
    <t>MLH1</t>
  </si>
  <si>
    <t>SMAD4</t>
  </si>
  <si>
    <t>SMO</t>
  </si>
  <si>
    <t>ABL1</t>
  </si>
  <si>
    <t>AKT1</t>
  </si>
  <si>
    <t>FGFR1</t>
  </si>
  <si>
    <t>SRC</t>
  </si>
  <si>
    <t>JAK2</t>
  </si>
  <si>
    <t>JAK3</t>
  </si>
  <si>
    <t>GNA11</t>
  </si>
  <si>
    <t>MPL1</t>
  </si>
  <si>
    <t>NPM1</t>
  </si>
  <si>
    <t>PCR</t>
  </si>
  <si>
    <t>Yi-Shuan Sheen. 2016</t>
  </si>
  <si>
    <t>PIK3R1</t>
  </si>
  <si>
    <t>PHLPP2</t>
  </si>
  <si>
    <t xml:space="preserve">Sample (N) </t>
  </si>
  <si>
    <t xml:space="preserve">Patient (N) </t>
  </si>
  <si>
    <t>Sample (primary)</t>
  </si>
  <si>
    <t>Patient (Primary)</t>
  </si>
  <si>
    <t>Lymph node</t>
  </si>
  <si>
    <t>Fixaton</t>
  </si>
  <si>
    <t>Chinese</t>
  </si>
  <si>
    <t>Acral</t>
  </si>
  <si>
    <t xml:space="preserve">PCR </t>
  </si>
  <si>
    <t>Lymph node, liver, lung, brain</t>
  </si>
  <si>
    <t>NA</t>
  </si>
  <si>
    <t>Acral melanoma (Yes/No/NA)</t>
  </si>
  <si>
    <t>PTPRT</t>
  </si>
  <si>
    <t>GRIN2A</t>
  </si>
  <si>
    <t>PTPRD</t>
  </si>
  <si>
    <t>KMT2D</t>
  </si>
  <si>
    <t>PAK5</t>
  </si>
  <si>
    <t>Number</t>
  </si>
  <si>
    <t>mass spectrometry technique ( Sequenom MassARRAY MelaCarta Panel)</t>
  </si>
  <si>
    <t>EPHB6</t>
  </si>
  <si>
    <t>MEK</t>
  </si>
  <si>
    <t>PTK2B</t>
  </si>
  <si>
    <t>AKT3</t>
  </si>
  <si>
    <t>EPHA10</t>
  </si>
  <si>
    <t>Tatsuya Kaji 2017</t>
  </si>
  <si>
    <t>Lymph node, lung, skin, peritoneum</t>
  </si>
  <si>
    <t>CDK4</t>
  </si>
  <si>
    <t>NEK10</t>
  </si>
  <si>
    <t>EIF1AX</t>
  </si>
  <si>
    <t>Si-Hyung Lee ., al 2018</t>
  </si>
  <si>
    <t>lymph node, soft tissue</t>
  </si>
  <si>
    <t>Firoz Ahmad., al. 2019</t>
  </si>
  <si>
    <t>Indian</t>
  </si>
  <si>
    <t>Kyueng-Whan Min ., al 2019</t>
  </si>
  <si>
    <t>PNA Clamp Mutation Detection kit. PCR???</t>
  </si>
  <si>
    <t>Korean</t>
  </si>
  <si>
    <t>BRCA2</t>
  </si>
  <si>
    <t>Luo Y., al..2020</t>
  </si>
  <si>
    <t>Y-S Sheen., al. 2020</t>
  </si>
  <si>
    <t xml:space="preserve">ARID2 </t>
  </si>
  <si>
    <t>Taiwan</t>
  </si>
  <si>
    <t>CHEK1</t>
  </si>
  <si>
    <t>PCR, rtPCR, pyro sequencing</t>
  </si>
  <si>
    <t>Xiaojing Kang., al.  2018</t>
  </si>
  <si>
    <t>Japanese</t>
  </si>
  <si>
    <t>Tatsuya Kaji., al. 2017</t>
  </si>
  <si>
    <t>Taiwanese</t>
  </si>
  <si>
    <t>Yi-Shuan Sheen., al. 2016</t>
  </si>
  <si>
    <t>Naoya Yamazaki., al. 2015</t>
  </si>
  <si>
    <t>Hisashi Uhara., al. 2014</t>
  </si>
  <si>
    <t>Lu Si., al. 2012</t>
  </si>
  <si>
    <t>Yan Kong., al. 2011</t>
  </si>
  <si>
    <t>WES</t>
  </si>
  <si>
    <t xml:space="preserve">DDX3X </t>
  </si>
  <si>
    <t>TAP2</t>
  </si>
  <si>
    <t>KT3</t>
  </si>
  <si>
    <t>BCLAF1</t>
  </si>
  <si>
    <t>CTNND2</t>
  </si>
  <si>
    <t>PIK3CG</t>
  </si>
  <si>
    <t>PIK3CR2</t>
  </si>
  <si>
    <t xml:space="preserve">PPARGC1A </t>
  </si>
  <si>
    <t>TP63</t>
  </si>
  <si>
    <t xml:space="preserve">XIRP2 </t>
  </si>
  <si>
    <t>Hanggoro Tri Rinonce., al. 2022</t>
  </si>
  <si>
    <t>pRT PCR</t>
  </si>
  <si>
    <t>Indonesia</t>
  </si>
  <si>
    <t>IGFR1</t>
  </si>
  <si>
    <t>RAD51</t>
  </si>
  <si>
    <t>Li Zhou., al. 2021</t>
  </si>
  <si>
    <t>pembrolizumab, toripalimab, tislelizumab, and camrelizumab (monotherapy)</t>
  </si>
  <si>
    <t>NRAS P29S</t>
  </si>
  <si>
    <t>PRR4</t>
  </si>
  <si>
    <t>C1QB</t>
  </si>
  <si>
    <t>ZNF669</t>
  </si>
  <si>
    <t>DTNBP1</t>
  </si>
  <si>
    <t>CHIC1</t>
  </si>
  <si>
    <t>B4GALNT4</t>
  </si>
  <si>
    <t xml:space="preserve">IFNA8 </t>
  </si>
  <si>
    <t>MED1</t>
  </si>
  <si>
    <t>MDH1</t>
  </si>
  <si>
    <t>DEAF1</t>
  </si>
  <si>
    <t>NUDT13</t>
  </si>
  <si>
    <t>KNG1</t>
  </si>
  <si>
    <t>GRXCR2</t>
  </si>
  <si>
    <t>JUP</t>
  </si>
  <si>
    <t>TIGD7</t>
  </si>
  <si>
    <t>SNRPN</t>
  </si>
  <si>
    <t>GAREM1</t>
  </si>
  <si>
    <t>CLCN5</t>
  </si>
  <si>
    <t>PTPN12</t>
  </si>
  <si>
    <t>TOR3A</t>
  </si>
  <si>
    <t>SPATA18</t>
  </si>
  <si>
    <t>BDKRB2</t>
  </si>
  <si>
    <t>Xiaojing Kang.,al. 2018</t>
  </si>
  <si>
    <t>NRAS Q61K</t>
  </si>
  <si>
    <t>GRM3</t>
  </si>
  <si>
    <t>ALPK2</t>
  </si>
  <si>
    <t>PTPRK</t>
  </si>
  <si>
    <t>PREK2</t>
  </si>
  <si>
    <t>STK9</t>
  </si>
  <si>
    <t>MAP3K9</t>
  </si>
  <si>
    <t>PDGFRB</t>
  </si>
  <si>
    <t>Q61K</t>
  </si>
  <si>
    <t>Q61R</t>
  </si>
  <si>
    <t>NRAS Q61R</t>
  </si>
  <si>
    <t>NRAS Q61L</t>
  </si>
  <si>
    <t>67 (26-87)</t>
  </si>
  <si>
    <t>63,1 (22-94)</t>
  </si>
  <si>
    <t>63 (22-94)</t>
  </si>
  <si>
    <t>62,1 (1-89)</t>
  </si>
  <si>
    <t>Mutation frequency in primary tumor (acral)</t>
  </si>
  <si>
    <t>Mutation frequency in metastase (Acral)</t>
  </si>
  <si>
    <t>Meng Wang., AL. 2024</t>
  </si>
  <si>
    <t>FIXATION</t>
  </si>
  <si>
    <t>Skin, Lymph node</t>
  </si>
  <si>
    <t>Acral melanoma sample</t>
  </si>
  <si>
    <t>Sample primary Acral melanoma</t>
  </si>
  <si>
    <t>Patient Primary Acral Melanoma</t>
  </si>
  <si>
    <t>Mass spectrometry technique ( Sequenom MassARRAY MelaCarta Panel)</t>
  </si>
  <si>
    <t>PCR, rtPCR, Pyro sequencing</t>
  </si>
  <si>
    <t>Mutation Prevalence according to  primaty tumor site</t>
  </si>
  <si>
    <t>Na</t>
  </si>
  <si>
    <t>Target NGS</t>
  </si>
  <si>
    <t>Min  et al [9],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</si>
</sst>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0">
    <font>
      <sz val="11"/>
      <color theme="1"/>
      <name val="Calibri"/>
      <family val="2"/>
      <charset val="163"/>
      <scheme val="minor"/>
    </font>
    <font>
      <sz val="12"/>
      <color theme="1"/>
      <name val="Arial"/>
      <family val="2"/>
    </font>
    <font>
      <b/>
      <sz val="12"/>
      <color theme="1"/>
      <name val="Arial"/>
      <family val="2"/>
    </font>
    <font>
      <i/>
      <sz val="12"/>
      <color theme="1"/>
      <name val="Arial"/>
      <family val="2"/>
    </font>
    <font>
      <b/>
      <sz val="11"/>
      <color theme="1"/>
      <name val="Segoe UI"/>
      <family val="2"/>
    </font>
    <font>
      <b/>
      <i/>
      <sz val="11"/>
      <color theme="1"/>
      <name val="Segoe UI"/>
      <family val="2"/>
    </font>
    <font>
      <sz val="11"/>
      <color theme="1"/>
      <name val="Segoe UI"/>
      <family val="2"/>
    </font>
    <font>
      <i/>
      <sz val="11"/>
      <color theme="1"/>
      <name val="Segoe UI"/>
      <family val="2"/>
    </font>
    <font>
      <sz val="6"/>
      <color theme="1"/>
      <name val="Segoe UI"/>
      <family val="2"/>
    </font>
    <font>
      <sz val="11"/>
      <color indexed="8"/>
      <name val="Calibri"/>
      <family val="2"/>
    </font>
    <font>
      <sz val="11"/>
      <color indexed="20"/>
      <name val="Calibri"/>
      <family val="2"/>
    </font>
    <font>
      <sz val="12"/>
      <name val="Calibri"/>
      <family val="2"/>
    </font>
    <font>
      <sz val="9"/>
      <color indexed="81"/>
      <name val="Tahoma"/>
      <family val="2"/>
    </font>
    <font>
      <b/>
      <sz val="9"/>
      <color indexed="81"/>
      <name val="Tahoma"/>
      <family val="2"/>
    </font>
    <font>
      <b/>
      <sz val="9"/>
      <color theme="1"/>
      <name val="Arial"/>
      <family val="2"/>
    </font>
    <font>
      <sz val="9"/>
      <color theme="1"/>
      <name val="Calibri"/>
      <family val="2"/>
      <scheme val="minor"/>
    </font>
    <font>
      <b/>
      <sz val="9"/>
      <color theme="1"/>
      <name val="Calibri"/>
      <family val="2"/>
      <scheme val="minor"/>
    </font>
    <font>
      <sz val="12"/>
      <color theme="1"/>
      <name val="Calibri"/>
      <family val="2"/>
      <charset val="163"/>
      <scheme val="minor"/>
    </font>
    <font>
      <sz val="12"/>
      <color rgb="FF000000"/>
      <name val="GillSans-Light"/>
    </font>
    <font>
      <sz val="12"/>
      <name val="Arial"/>
      <family val="2"/>
    </font>
    <font>
      <u/>
      <sz val="11"/>
      <color theme="10"/>
      <name val="Calibri"/>
      <family val="2"/>
      <charset val="163"/>
      <scheme val="minor"/>
    </font>
    <font>
      <sz val="11"/>
      <name val="Calibri"/>
      <family val="2"/>
      <charset val="163"/>
      <scheme val="minor"/>
    </font>
    <font>
      <sz val="12"/>
      <color rgb="FF000000"/>
      <name val="Arial"/>
      <family val="2"/>
    </font>
    <font>
      <b/>
      <sz val="12"/>
      <name val="Arial"/>
      <family val="2"/>
    </font>
    <font>
      <sz val="12"/>
      <name val="Calibri"/>
      <family val="2"/>
      <charset val="163"/>
      <scheme val="minor"/>
    </font>
    <font>
      <sz val="11"/>
      <name val="Arial"/>
      <family val="2"/>
    </font>
    <font>
      <sz val="12"/>
      <name val="Times New Roman"/>
      <family val="1"/>
    </font>
    <font>
      <sz val="12"/>
      <name val="GillSans-Light"/>
    </font>
    <font>
      <b/>
      <sz val="11"/>
      <name val="Calibri"/>
      <family val="2"/>
      <scheme val="minor"/>
    </font>
    <font>
      <sz val="10"/>
      <color rgb="FF212121"/>
      <name val="Segoe UI"/>
      <family val="2"/>
    </font>
  </fonts>
  <fills count="12">
    <fill>
      <patternFill patternType="none"/>
    </fill>
    <fill>
      <patternFill patternType="gray125"/>
    </fill>
    <fill>
      <patternFill patternType="solid">
        <fgColor rgb="FFEEEEEE"/>
        <bgColor indexed="64"/>
      </patternFill>
    </fill>
    <fill>
      <patternFill patternType="solid">
        <fgColor indexed="45"/>
        <bgColor indexed="29"/>
      </patternFill>
    </fill>
    <fill>
      <patternFill patternType="solid">
        <fgColor theme="4" tint="0.59999389629810485"/>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C0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style="medium">
        <color rgb="FFD5D5D5"/>
      </right>
      <top/>
      <bottom/>
      <diagonal/>
    </border>
    <border>
      <left/>
      <right style="medium">
        <color rgb="FFD5D5D5"/>
      </right>
      <top style="medium">
        <color rgb="FFD5D5D5"/>
      </top>
      <bottom/>
      <diagonal/>
    </border>
    <border>
      <left style="medium">
        <color rgb="FFD5D5D5"/>
      </left>
      <right style="medium">
        <color rgb="FFD5D5D5"/>
      </right>
      <top style="medium">
        <color rgb="FFD5D5D5"/>
      </top>
      <bottom style="medium">
        <color rgb="FFD5D5D5"/>
      </bottom>
      <diagonal/>
    </border>
    <border>
      <left/>
      <right style="medium">
        <color rgb="FFD5D5D5"/>
      </right>
      <top style="medium">
        <color rgb="FFD5D5D5"/>
      </top>
      <bottom style="medium">
        <color rgb="FFD5D5D5"/>
      </bottom>
      <diagonal/>
    </border>
    <border>
      <left style="medium">
        <color rgb="FFD5D5D5"/>
      </left>
      <right style="medium">
        <color rgb="FFD5D5D5"/>
      </right>
      <top/>
      <bottom/>
      <diagonal/>
    </border>
    <border>
      <left style="medium">
        <color rgb="FFD5D5D5"/>
      </left>
      <right style="medium">
        <color rgb="FFD5D5D5"/>
      </right>
      <top style="medium">
        <color rgb="FFD5D5D5"/>
      </top>
      <bottom/>
      <diagonal/>
    </border>
    <border>
      <left/>
      <right/>
      <top style="thin">
        <color indexed="64"/>
      </top>
      <bottom/>
      <diagonal/>
    </border>
  </borders>
  <cellStyleXfs count="4">
    <xf numFmtId="0" fontId="0" fillId="0" borderId="0"/>
    <xf numFmtId="0" fontId="9" fillId="0" borderId="0"/>
    <xf numFmtId="0" fontId="10" fillId="3" borderId="0" applyNumberFormat="0" applyBorder="0" applyAlignment="0" applyProtection="0"/>
    <xf numFmtId="0" fontId="20" fillId="0" borderId="0" applyNumberFormat="0" applyFill="0" applyBorder="0" applyAlignment="0" applyProtection="0"/>
  </cellStyleXfs>
  <cellXfs count="206">
    <xf numFmtId="0" fontId="0" fillId="0" borderId="0" xfId="0"/>
    <xf numFmtId="0" fontId="1" fillId="0" borderId="1" xfId="0" applyFont="1" applyBorder="1" applyAlignment="1">
      <alignment horizontal="center" vertical="center"/>
    </xf>
    <xf numFmtId="0" fontId="1" fillId="0" borderId="1" xfId="0" applyFont="1" applyBorder="1" applyAlignment="1">
      <alignment vertical="center"/>
    </xf>
    <xf numFmtId="0" fontId="1" fillId="0" borderId="0" xfId="0" applyFont="1" applyAlignment="1">
      <alignment vertical="center"/>
    </xf>
    <xf numFmtId="0" fontId="2" fillId="0" borderId="1" xfId="0" applyFont="1" applyBorder="1" applyAlignment="1">
      <alignment horizontal="center" vertical="center"/>
    </xf>
    <xf numFmtId="0" fontId="2" fillId="0" borderId="0" xfId="0" applyFont="1" applyAlignment="1">
      <alignment vertical="center"/>
    </xf>
    <xf numFmtId="0" fontId="1" fillId="0" borderId="1" xfId="0" quotePrefix="1" applyFont="1" applyBorder="1" applyAlignment="1">
      <alignment vertical="center" wrapText="1"/>
    </xf>
    <xf numFmtId="0" fontId="1" fillId="0" borderId="0" xfId="0" applyFont="1" applyAlignment="1">
      <alignment vertical="center" wrapText="1"/>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4" fillId="2" borderId="15" xfId="0" applyFont="1" applyFill="1" applyBorder="1" applyAlignment="1">
      <alignment horizontal="center" vertical="top" wrapText="1"/>
    </xf>
    <xf numFmtId="0" fontId="4" fillId="2" borderId="16" xfId="0" applyFont="1" applyFill="1" applyBorder="1" applyAlignment="1">
      <alignment horizontal="center" vertical="top" wrapText="1"/>
    </xf>
    <xf numFmtId="0" fontId="5" fillId="2" borderId="16" xfId="0" applyFont="1" applyFill="1" applyBorder="1" applyAlignment="1">
      <alignment horizontal="center" vertical="top" wrapText="1"/>
    </xf>
    <xf numFmtId="0" fontId="7" fillId="0" borderId="17" xfId="0" applyFont="1" applyBorder="1" applyAlignment="1">
      <alignment horizontal="left" vertical="center" wrapText="1"/>
    </xf>
    <xf numFmtId="0" fontId="7" fillId="0" borderId="18" xfId="0" applyFont="1" applyBorder="1" applyAlignment="1">
      <alignment horizontal="left" vertical="center" wrapText="1"/>
    </xf>
    <xf numFmtId="0" fontId="7" fillId="0" borderId="15" xfId="0" applyFont="1" applyBorder="1" applyAlignment="1">
      <alignment horizontal="left" vertical="center" wrapText="1"/>
    </xf>
    <xf numFmtId="0" fontId="6" fillId="0" borderId="16" xfId="0" applyFont="1" applyBorder="1" applyAlignment="1">
      <alignment horizontal="center" vertical="center" wrapText="1"/>
    </xf>
    <xf numFmtId="165" fontId="4" fillId="2" borderId="16" xfId="0" applyNumberFormat="1" applyFont="1" applyFill="1" applyBorder="1" applyAlignment="1">
      <alignment horizontal="center" vertical="top" wrapText="1"/>
    </xf>
    <xf numFmtId="165" fontId="6" fillId="0" borderId="13" xfId="0" applyNumberFormat="1" applyFont="1" applyBorder="1" applyAlignment="1">
      <alignment horizontal="center" vertical="center" wrapText="1"/>
    </xf>
    <xf numFmtId="165" fontId="0" fillId="0" borderId="0" xfId="0" applyNumberFormat="1"/>
    <xf numFmtId="0" fontId="1" fillId="0" borderId="1" xfId="0" quotePrefix="1" applyFont="1" applyBorder="1" applyAlignment="1">
      <alignment horizontal="center" vertical="center"/>
    </xf>
    <xf numFmtId="0" fontId="1" fillId="0" borderId="1" xfId="0" applyFont="1" applyBorder="1" applyAlignment="1">
      <alignment horizontal="center" vertical="center" wrapText="1"/>
    </xf>
    <xf numFmtId="0" fontId="9" fillId="0" borderId="0" xfId="1"/>
    <xf numFmtId="0" fontId="11" fillId="0" borderId="0" xfId="2" applyNumberFormat="1" applyFont="1" applyFill="1" applyBorder="1" applyAlignment="1" applyProtection="1"/>
    <xf numFmtId="0" fontId="0" fillId="0" borderId="4" xfId="0" applyBorder="1"/>
    <xf numFmtId="0" fontId="0" fillId="0" borderId="19" xfId="0" applyBorder="1"/>
    <xf numFmtId="0" fontId="0" fillId="0" borderId="9" xfId="0" applyBorder="1"/>
    <xf numFmtId="0" fontId="0" fillId="0" borderId="5" xfId="0" applyBorder="1"/>
    <xf numFmtId="0" fontId="0" fillId="0" borderId="7" xfId="0" applyBorder="1"/>
    <xf numFmtId="0" fontId="0" fillId="0" borderId="8" xfId="0" applyBorder="1"/>
    <xf numFmtId="0" fontId="2" fillId="0" borderId="3" xfId="0" applyFont="1" applyBorder="1" applyAlignment="1">
      <alignment horizontal="center" vertical="center"/>
    </xf>
    <xf numFmtId="0" fontId="1" fillId="0" borderId="0" xfId="0" applyFont="1" applyAlignment="1">
      <alignment horizontal="center" vertical="center"/>
    </xf>
    <xf numFmtId="0" fontId="2" fillId="0" borderId="1" xfId="0" applyFont="1" applyBorder="1" applyAlignment="1">
      <alignment horizontal="center" vertical="center" wrapText="1"/>
    </xf>
    <xf numFmtId="0" fontId="1" fillId="0" borderId="10" xfId="0" applyFont="1" applyBorder="1" applyAlignment="1">
      <alignment horizontal="center" vertical="center"/>
    </xf>
    <xf numFmtId="0" fontId="1" fillId="0" borderId="1" xfId="0" applyFont="1" applyBorder="1" applyAlignment="1">
      <alignment vertical="center" wrapText="1"/>
    </xf>
    <xf numFmtId="3" fontId="1" fillId="0" borderId="1" xfId="0" applyNumberFormat="1" applyFont="1" applyBorder="1" applyAlignment="1">
      <alignment horizontal="center" vertical="center"/>
    </xf>
    <xf numFmtId="0" fontId="1" fillId="7" borderId="1" xfId="0" applyFont="1" applyFill="1" applyBorder="1" applyAlignment="1">
      <alignment horizontal="center" vertical="center"/>
    </xf>
    <xf numFmtId="0" fontId="1" fillId="7" borderId="1" xfId="0" applyFont="1" applyFill="1" applyBorder="1" applyAlignment="1">
      <alignment vertical="center"/>
    </xf>
    <xf numFmtId="0" fontId="1" fillId="7" borderId="1" xfId="0" quotePrefix="1" applyFont="1" applyFill="1" applyBorder="1" applyAlignment="1">
      <alignment vertical="center" wrapText="1"/>
    </xf>
    <xf numFmtId="0" fontId="1" fillId="7" borderId="0" xfId="0" applyFont="1" applyFill="1" applyAlignment="1">
      <alignment vertical="center"/>
    </xf>
    <xf numFmtId="0" fontId="15" fillId="0" borderId="0" xfId="0" applyFont="1"/>
    <xf numFmtId="164" fontId="16" fillId="5" borderId="1" xfId="0" applyNumberFormat="1" applyFont="1" applyFill="1" applyBorder="1" applyAlignment="1">
      <alignment vertical="center" wrapText="1"/>
    </xf>
    <xf numFmtId="1" fontId="14" fillId="5" borderId="1" xfId="0" applyNumberFormat="1" applyFont="1" applyFill="1" applyBorder="1" applyAlignment="1">
      <alignment horizontal="left" vertical="center" wrapText="1"/>
    </xf>
    <xf numFmtId="0" fontId="0" fillId="0" borderId="0" xfId="0" applyAlignment="1">
      <alignment horizontal="left"/>
    </xf>
    <xf numFmtId="1" fontId="14" fillId="4" borderId="1" xfId="0" applyNumberFormat="1" applyFont="1" applyFill="1" applyBorder="1" applyAlignment="1">
      <alignment horizontal="left" vertical="center" wrapText="1"/>
    </xf>
    <xf numFmtId="0" fontId="2" fillId="0" borderId="0" xfId="0" applyFont="1" applyAlignment="1">
      <alignment vertical="center" wrapText="1"/>
    </xf>
    <xf numFmtId="0" fontId="1" fillId="0" borderId="0" xfId="0" quotePrefix="1" applyFont="1" applyAlignment="1">
      <alignment vertical="center" wrapText="1"/>
    </xf>
    <xf numFmtId="0" fontId="1" fillId="7" borderId="0" xfId="0" quotePrefix="1" applyFont="1" applyFill="1" applyAlignment="1">
      <alignment vertical="center" wrapText="1"/>
    </xf>
    <xf numFmtId="0" fontId="1" fillId="0" borderId="0" xfId="0" quotePrefix="1" applyFont="1" applyAlignment="1">
      <alignment horizontal="left" vertical="center" wrapText="1"/>
    </xf>
    <xf numFmtId="0" fontId="1" fillId="0" borderId="10" xfId="0" quotePrefix="1" applyFont="1" applyBorder="1" applyAlignment="1">
      <alignment vertical="center" wrapText="1"/>
    </xf>
    <xf numFmtId="0" fontId="1" fillId="0" borderId="1" xfId="0" applyFont="1" applyBorder="1" applyAlignment="1">
      <alignment horizontal="left" vertical="center"/>
    </xf>
    <xf numFmtId="0" fontId="0" fillId="9" borderId="0" xfId="0" applyFill="1"/>
    <xf numFmtId="0" fontId="0" fillId="9" borderId="19" xfId="0" applyFill="1" applyBorder="1"/>
    <xf numFmtId="0" fontId="0" fillId="0" borderId="11" xfId="0" applyBorder="1"/>
    <xf numFmtId="0" fontId="0" fillId="9" borderId="7" xfId="0" applyFill="1" applyBorder="1"/>
    <xf numFmtId="0" fontId="1" fillId="0" borderId="1" xfId="0" quotePrefix="1" applyFont="1" applyBorder="1" applyAlignment="1">
      <alignment horizontal="left" vertical="center" wrapText="1"/>
    </xf>
    <xf numFmtId="0" fontId="1" fillId="0" borderId="2" xfId="0" quotePrefix="1" applyFont="1" applyBorder="1" applyAlignment="1">
      <alignment horizontal="left" vertical="center" wrapText="1"/>
    </xf>
    <xf numFmtId="0" fontId="1" fillId="0" borderId="3" xfId="0" quotePrefix="1"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1" fillId="0" borderId="1" xfId="0" applyFont="1" applyBorder="1" applyAlignment="1">
      <alignment horizontal="left" vertical="center" wrapText="1"/>
    </xf>
    <xf numFmtId="0" fontId="1" fillId="7" borderId="1" xfId="0" quotePrefix="1" applyFont="1" applyFill="1" applyBorder="1" applyAlignment="1">
      <alignment horizontal="left" vertical="center" wrapText="1"/>
    </xf>
    <xf numFmtId="0" fontId="1" fillId="0" borderId="1" xfId="0" quotePrefix="1" applyFont="1" applyBorder="1" applyAlignment="1">
      <alignment horizontal="left" vertical="center"/>
    </xf>
    <xf numFmtId="0" fontId="1" fillId="0" borderId="0" xfId="0" applyFont="1" applyAlignment="1">
      <alignment horizontal="left" vertical="center" wrapText="1"/>
    </xf>
    <xf numFmtId="164" fontId="2" fillId="5" borderId="1" xfId="0" applyNumberFormat="1" applyFont="1" applyFill="1" applyBorder="1" applyAlignment="1">
      <alignment vertical="center" wrapText="1"/>
    </xf>
    <xf numFmtId="1" fontId="1" fillId="0" borderId="1" xfId="0" applyNumberFormat="1" applyFont="1" applyBorder="1" applyAlignment="1">
      <alignment horizontal="left" vertical="center"/>
    </xf>
    <xf numFmtId="1" fontId="1" fillId="0" borderId="1" xfId="0" applyNumberFormat="1" applyFont="1" applyBorder="1" applyAlignment="1">
      <alignment vertical="center"/>
    </xf>
    <xf numFmtId="164" fontId="1" fillId="0" borderId="1" xfId="0" applyNumberFormat="1" applyFont="1" applyBorder="1" applyAlignment="1">
      <alignment vertical="center"/>
    </xf>
    <xf numFmtId="3" fontId="1" fillId="0" borderId="1" xfId="0" applyNumberFormat="1" applyFont="1" applyBorder="1" applyAlignment="1">
      <alignment vertical="center"/>
    </xf>
    <xf numFmtId="3" fontId="1" fillId="0" borderId="1" xfId="0" applyNumberFormat="1" applyFont="1" applyBorder="1" applyAlignment="1">
      <alignment horizontal="left" vertical="center"/>
    </xf>
    <xf numFmtId="1" fontId="1" fillId="0" borderId="1" xfId="0" applyNumberFormat="1" applyFont="1" applyBorder="1" applyAlignment="1">
      <alignment horizontal="center" vertical="center"/>
    </xf>
    <xf numFmtId="0" fontId="1" fillId="0" borderId="2" xfId="0" applyFont="1" applyBorder="1" applyAlignment="1">
      <alignment vertical="center"/>
    </xf>
    <xf numFmtId="0" fontId="1" fillId="0" borderId="3" xfId="0" applyFont="1" applyBorder="1" applyAlignment="1">
      <alignment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7" borderId="10" xfId="0" applyFont="1" applyFill="1" applyBorder="1" applyAlignment="1">
      <alignment horizontal="center" vertical="center"/>
    </xf>
    <xf numFmtId="0" fontId="1" fillId="8" borderId="3" xfId="0" applyFont="1" applyFill="1" applyBorder="1" applyAlignment="1">
      <alignment horizontal="center" vertical="center"/>
    </xf>
    <xf numFmtId="0" fontId="1" fillId="8" borderId="1" xfId="0" applyFont="1" applyFill="1" applyBorder="1" applyAlignment="1">
      <alignment vertical="center"/>
    </xf>
    <xf numFmtId="0" fontId="1" fillId="8" borderId="1" xfId="0" applyFont="1" applyFill="1" applyBorder="1" applyAlignment="1">
      <alignment horizontal="center" vertical="center"/>
    </xf>
    <xf numFmtId="0" fontId="1" fillId="8" borderId="1" xfId="0" quotePrefix="1" applyFont="1" applyFill="1" applyBorder="1" applyAlignment="1">
      <alignment horizontal="left" vertical="center" wrapText="1"/>
    </xf>
    <xf numFmtId="1" fontId="1" fillId="8" borderId="1" xfId="0" applyNumberFormat="1" applyFont="1" applyFill="1" applyBorder="1" applyAlignment="1">
      <alignment horizontal="left" vertical="center"/>
    </xf>
    <xf numFmtId="1" fontId="1" fillId="0" borderId="1" xfId="0" applyNumberFormat="1" applyFont="1" applyBorder="1" applyAlignment="1">
      <alignment horizontal="left" vertical="center" wrapText="1"/>
    </xf>
    <xf numFmtId="1" fontId="1" fillId="10" borderId="1" xfId="0" applyNumberFormat="1" applyFont="1" applyFill="1" applyBorder="1" applyAlignment="1">
      <alignment horizontal="left" vertical="center"/>
    </xf>
    <xf numFmtId="1" fontId="0" fillId="0" borderId="0" xfId="0" applyNumberFormat="1"/>
    <xf numFmtId="0" fontId="1" fillId="11" borderId="1" xfId="0" applyFont="1" applyFill="1" applyBorder="1" applyAlignment="1">
      <alignment horizontal="center" vertical="center"/>
    </xf>
    <xf numFmtId="0" fontId="1" fillId="8" borderId="1" xfId="0" quotePrefix="1" applyFont="1" applyFill="1" applyBorder="1" applyAlignment="1">
      <alignment horizontal="center" vertical="center"/>
    </xf>
    <xf numFmtId="1" fontId="18" fillId="0" borderId="1" xfId="0" applyNumberFormat="1" applyFont="1" applyBorder="1" applyAlignment="1">
      <alignment horizontal="left" vertical="center"/>
    </xf>
    <xf numFmtId="1" fontId="17" fillId="0" borderId="1" xfId="0" applyNumberFormat="1" applyFont="1" applyBorder="1"/>
    <xf numFmtId="1" fontId="17" fillId="0" borderId="1" xfId="0" applyNumberFormat="1" applyFont="1" applyBorder="1" applyAlignment="1">
      <alignment horizontal="left"/>
    </xf>
    <xf numFmtId="1" fontId="17" fillId="0" borderId="1" xfId="0" applyNumberFormat="1" applyFont="1" applyBorder="1" applyAlignment="1">
      <alignment vertical="center"/>
    </xf>
    <xf numFmtId="1" fontId="17" fillId="0" borderId="1" xfId="0" applyNumberFormat="1" applyFont="1" applyBorder="1" applyAlignment="1">
      <alignment horizontal="left" vertical="center"/>
    </xf>
    <xf numFmtId="0" fontId="18" fillId="0" borderId="1" xfId="0" applyFont="1" applyBorder="1" applyAlignment="1">
      <alignment horizontal="left" vertical="center"/>
    </xf>
    <xf numFmtId="0" fontId="18" fillId="0" borderId="1" xfId="0" applyFont="1" applyBorder="1" applyAlignment="1">
      <alignment vertical="center"/>
    </xf>
    <xf numFmtId="2" fontId="1" fillId="0" borderId="1" xfId="0" applyNumberFormat="1" applyFont="1" applyBorder="1" applyAlignment="1">
      <alignment vertical="center"/>
    </xf>
    <xf numFmtId="164" fontId="2" fillId="5" borderId="1" xfId="0" applyNumberFormat="1" applyFont="1" applyFill="1" applyBorder="1" applyAlignment="1">
      <alignment horizontal="lef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vertical="center"/>
    </xf>
    <xf numFmtId="164" fontId="2" fillId="4" borderId="1" xfId="0" applyNumberFormat="1" applyFont="1" applyFill="1" applyBorder="1" applyAlignment="1">
      <alignment vertical="center"/>
    </xf>
    <xf numFmtId="164" fontId="2" fillId="4" borderId="1" xfId="0" applyNumberFormat="1" applyFont="1" applyFill="1" applyBorder="1" applyAlignment="1">
      <alignment horizontal="center" vertical="center"/>
    </xf>
    <xf numFmtId="164" fontId="2" fillId="0" borderId="1" xfId="0" applyNumberFormat="1" applyFont="1" applyBorder="1" applyAlignment="1">
      <alignment horizontal="center" vertical="center" wrapText="1"/>
    </xf>
    <xf numFmtId="164" fontId="2" fillId="6" borderId="1" xfId="0" applyNumberFormat="1" applyFont="1" applyFill="1" applyBorder="1" applyAlignment="1">
      <alignment vertical="center"/>
    </xf>
    <xf numFmtId="0" fontId="2" fillId="0" borderId="1" xfId="0" applyFont="1" applyBorder="1" applyAlignment="1">
      <alignment vertical="center" wrapText="1"/>
    </xf>
    <xf numFmtId="0" fontId="1" fillId="7" borderId="1" xfId="0" applyFont="1" applyFill="1" applyBorder="1" applyAlignment="1">
      <alignment horizontal="left" vertical="center"/>
    </xf>
    <xf numFmtId="1" fontId="1" fillId="7" borderId="1" xfId="0" applyNumberFormat="1" applyFont="1" applyFill="1" applyBorder="1" applyAlignment="1">
      <alignment horizontal="left" vertical="center"/>
    </xf>
    <xf numFmtId="164" fontId="1" fillId="7" borderId="1" xfId="0" applyNumberFormat="1" applyFont="1" applyFill="1" applyBorder="1" applyAlignment="1">
      <alignment vertical="center"/>
    </xf>
    <xf numFmtId="3" fontId="1" fillId="7" borderId="1" xfId="0" applyNumberFormat="1" applyFont="1" applyFill="1" applyBorder="1" applyAlignment="1">
      <alignment vertical="center"/>
    </xf>
    <xf numFmtId="0" fontId="19" fillId="0" borderId="1" xfId="3" applyFont="1" applyBorder="1"/>
    <xf numFmtId="0" fontId="19" fillId="0" borderId="1" xfId="0" applyFont="1" applyBorder="1" applyAlignment="1">
      <alignment vertical="center"/>
    </xf>
    <xf numFmtId="0" fontId="19" fillId="0" borderId="1" xfId="0" applyFont="1" applyBorder="1"/>
    <xf numFmtId="1" fontId="19" fillId="0" borderId="1" xfId="0" applyNumberFormat="1" applyFont="1" applyBorder="1" applyAlignment="1">
      <alignment vertical="center"/>
    </xf>
    <xf numFmtId="0" fontId="19" fillId="0" borderId="1" xfId="0" applyFont="1" applyBorder="1" applyAlignment="1">
      <alignment vertical="center" wrapText="1"/>
    </xf>
    <xf numFmtId="0" fontId="19" fillId="0" borderId="1" xfId="0" applyFont="1" applyBorder="1" applyAlignment="1">
      <alignment horizontal="center" vertical="center"/>
    </xf>
    <xf numFmtId="164" fontId="19" fillId="0" borderId="1" xfId="0" applyNumberFormat="1" applyFont="1" applyBorder="1" applyAlignment="1">
      <alignment vertical="center"/>
    </xf>
    <xf numFmtId="164" fontId="19" fillId="7" borderId="0" xfId="0" applyNumberFormat="1" applyFont="1" applyFill="1" applyAlignment="1">
      <alignment vertical="center"/>
    </xf>
    <xf numFmtId="164" fontId="2" fillId="6" borderId="1" xfId="0" applyNumberFormat="1" applyFont="1" applyFill="1" applyBorder="1" applyAlignment="1">
      <alignment horizontal="center" vertical="center"/>
    </xf>
    <xf numFmtId="0" fontId="19" fillId="7" borderId="1" xfId="0" applyFont="1" applyFill="1" applyBorder="1" applyAlignment="1">
      <alignment horizontal="left" vertical="center"/>
    </xf>
    <xf numFmtId="0" fontId="19" fillId="7" borderId="1" xfId="0" applyFont="1" applyFill="1" applyBorder="1" applyAlignment="1">
      <alignment vertical="center"/>
    </xf>
    <xf numFmtId="0" fontId="23" fillId="7" borderId="1" xfId="0" applyFont="1" applyFill="1" applyBorder="1" applyAlignment="1">
      <alignment horizontal="center" vertical="center" wrapText="1"/>
    </xf>
    <xf numFmtId="0" fontId="19" fillId="7" borderId="1" xfId="0" applyFont="1" applyFill="1" applyBorder="1" applyAlignment="1">
      <alignment vertical="center" wrapText="1"/>
    </xf>
    <xf numFmtId="0" fontId="19" fillId="7" borderId="1" xfId="0" applyFont="1" applyFill="1" applyBorder="1"/>
    <xf numFmtId="0" fontId="19" fillId="7" borderId="1" xfId="3" applyFont="1" applyFill="1" applyBorder="1"/>
    <xf numFmtId="1" fontId="19" fillId="7" borderId="1" xfId="0" applyNumberFormat="1" applyFont="1" applyFill="1" applyBorder="1" applyAlignment="1">
      <alignment vertical="center"/>
    </xf>
    <xf numFmtId="0" fontId="19" fillId="7" borderId="1" xfId="3" applyFont="1" applyFill="1" applyBorder="1" applyAlignment="1">
      <alignment vertical="center"/>
    </xf>
    <xf numFmtId="0" fontId="19" fillId="7" borderId="1" xfId="0" applyFont="1" applyFill="1" applyBorder="1" applyAlignment="1">
      <alignment wrapText="1"/>
    </xf>
    <xf numFmtId="0" fontId="23" fillId="7" borderId="1" xfId="0" applyFont="1" applyFill="1" applyBorder="1" applyAlignment="1">
      <alignment horizontal="center" vertical="center"/>
    </xf>
    <xf numFmtId="0" fontId="23" fillId="7" borderId="1" xfId="0" applyFont="1" applyFill="1" applyBorder="1" applyAlignment="1">
      <alignment horizontal="left" vertical="center" wrapText="1"/>
    </xf>
    <xf numFmtId="0" fontId="21" fillId="7" borderId="1" xfId="0" applyFont="1" applyFill="1" applyBorder="1"/>
    <xf numFmtId="1" fontId="23" fillId="7" borderId="1" xfId="0" applyNumberFormat="1" applyFont="1" applyFill="1" applyBorder="1" applyAlignment="1">
      <alignment horizontal="left" vertical="center" wrapText="1"/>
    </xf>
    <xf numFmtId="0" fontId="19" fillId="7" borderId="1" xfId="0" applyFont="1" applyFill="1" applyBorder="1" applyAlignment="1">
      <alignment horizontal="center" vertical="center"/>
    </xf>
    <xf numFmtId="0" fontId="19" fillId="7" borderId="1" xfId="0" quotePrefix="1" applyFont="1" applyFill="1" applyBorder="1" applyAlignment="1">
      <alignment horizontal="center" vertical="center"/>
    </xf>
    <xf numFmtId="1" fontId="19" fillId="7" borderId="1" xfId="0" applyNumberFormat="1" applyFont="1" applyFill="1" applyBorder="1" applyAlignment="1">
      <alignment horizontal="left" vertical="center"/>
    </xf>
    <xf numFmtId="1" fontId="19" fillId="7" borderId="1" xfId="0" quotePrefix="1" applyNumberFormat="1" applyFont="1" applyFill="1" applyBorder="1" applyAlignment="1">
      <alignment horizontal="left" vertical="center"/>
    </xf>
    <xf numFmtId="1" fontId="19" fillId="7" borderId="1" xfId="0" applyNumberFormat="1" applyFont="1" applyFill="1" applyBorder="1" applyAlignment="1">
      <alignment horizontal="left" vertical="center" wrapText="1"/>
    </xf>
    <xf numFmtId="3" fontId="19" fillId="7" borderId="1" xfId="0" applyNumberFormat="1" applyFont="1" applyFill="1" applyBorder="1" applyAlignment="1">
      <alignment horizontal="left" vertical="center"/>
    </xf>
    <xf numFmtId="1" fontId="19" fillId="7" borderId="1" xfId="0" applyNumberFormat="1" applyFont="1" applyFill="1" applyBorder="1" applyAlignment="1">
      <alignment horizontal="center" vertical="center"/>
    </xf>
    <xf numFmtId="2" fontId="19" fillId="7" borderId="1" xfId="0" applyNumberFormat="1" applyFont="1" applyFill="1" applyBorder="1" applyAlignment="1">
      <alignment horizontal="left" vertical="center"/>
    </xf>
    <xf numFmtId="1" fontId="27" fillId="7" borderId="1" xfId="0" applyNumberFormat="1" applyFont="1" applyFill="1" applyBorder="1" applyAlignment="1">
      <alignment horizontal="left" vertical="center"/>
    </xf>
    <xf numFmtId="1" fontId="22" fillId="0" borderId="1" xfId="0" applyNumberFormat="1" applyFont="1" applyBorder="1" applyAlignment="1">
      <alignment horizontal="left" vertical="center"/>
    </xf>
    <xf numFmtId="164" fontId="19" fillId="7" borderId="1" xfId="0" applyNumberFormat="1" applyFont="1" applyFill="1" applyBorder="1" applyAlignment="1">
      <alignment vertical="center"/>
    </xf>
    <xf numFmtId="164" fontId="23" fillId="7" borderId="1" xfId="0" applyNumberFormat="1" applyFont="1" applyFill="1" applyBorder="1" applyAlignment="1">
      <alignment vertical="center"/>
    </xf>
    <xf numFmtId="164" fontId="23" fillId="7" borderId="1" xfId="0" applyNumberFormat="1" applyFont="1" applyFill="1" applyBorder="1" applyAlignment="1">
      <alignment horizontal="center" vertical="center"/>
    </xf>
    <xf numFmtId="0" fontId="23" fillId="7" borderId="1" xfId="0" applyFont="1" applyFill="1" applyBorder="1" applyAlignment="1">
      <alignment vertical="center"/>
    </xf>
    <xf numFmtId="164" fontId="23" fillId="7" borderId="1" xfId="0" applyNumberFormat="1" applyFont="1" applyFill="1" applyBorder="1" applyAlignment="1">
      <alignment vertical="center" wrapText="1"/>
    </xf>
    <xf numFmtId="164" fontId="23" fillId="7" borderId="1" xfId="0" applyNumberFormat="1" applyFont="1" applyFill="1" applyBorder="1" applyAlignment="1">
      <alignment horizontal="left" vertical="center" wrapText="1"/>
    </xf>
    <xf numFmtId="0" fontId="23" fillId="7" borderId="1" xfId="0" applyFont="1" applyFill="1" applyBorder="1" applyAlignment="1">
      <alignment vertical="center" wrapText="1"/>
    </xf>
    <xf numFmtId="3" fontId="19" fillId="7" borderId="1" xfId="0" applyNumberFormat="1" applyFont="1" applyFill="1" applyBorder="1" applyAlignment="1">
      <alignment vertical="center"/>
    </xf>
    <xf numFmtId="0" fontId="26" fillId="7" borderId="0" xfId="0" applyFont="1" applyFill="1"/>
    <xf numFmtId="2" fontId="19" fillId="7" borderId="1" xfId="0" applyNumberFormat="1" applyFont="1" applyFill="1" applyBorder="1" applyAlignment="1">
      <alignment vertical="center"/>
    </xf>
    <xf numFmtId="1" fontId="24" fillId="7" borderId="1" xfId="0" applyNumberFormat="1" applyFont="1" applyFill="1" applyBorder="1" applyAlignment="1">
      <alignment horizontal="left"/>
    </xf>
    <xf numFmtId="1" fontId="24" fillId="7" borderId="1" xfId="0" applyNumberFormat="1" applyFont="1" applyFill="1" applyBorder="1"/>
    <xf numFmtId="1" fontId="24" fillId="7" borderId="1" xfId="0" applyNumberFormat="1" applyFont="1" applyFill="1" applyBorder="1" applyAlignment="1">
      <alignment horizontal="left" vertical="center"/>
    </xf>
    <xf numFmtId="1" fontId="24" fillId="7" borderId="1" xfId="0" applyNumberFormat="1" applyFont="1" applyFill="1" applyBorder="1" applyAlignment="1">
      <alignment vertical="center"/>
    </xf>
    <xf numFmtId="0" fontId="27" fillId="7" borderId="1" xfId="0" applyFont="1" applyFill="1" applyBorder="1" applyAlignment="1">
      <alignment horizontal="left" vertical="center"/>
    </xf>
    <xf numFmtId="0" fontId="27" fillId="7" borderId="1" xfId="0" applyFont="1" applyFill="1" applyBorder="1" applyAlignment="1">
      <alignment vertical="center"/>
    </xf>
    <xf numFmtId="0" fontId="19" fillId="7" borderId="1" xfId="0" quotePrefix="1" applyFont="1" applyFill="1" applyBorder="1" applyAlignment="1">
      <alignment horizontal="left" vertical="top" wrapText="1"/>
    </xf>
    <xf numFmtId="0" fontId="19" fillId="7" borderId="1" xfId="0" applyFont="1" applyFill="1" applyBorder="1" applyAlignment="1">
      <alignment vertical="top"/>
    </xf>
    <xf numFmtId="0" fontId="19" fillId="7" borderId="1" xfId="0" applyFont="1" applyFill="1" applyBorder="1" applyAlignment="1">
      <alignment horizontal="left" vertical="top" wrapText="1"/>
    </xf>
    <xf numFmtId="1" fontId="19" fillId="7" borderId="1" xfId="0" applyNumberFormat="1" applyFont="1" applyFill="1" applyBorder="1" applyAlignment="1">
      <alignment vertical="top"/>
    </xf>
    <xf numFmtId="0" fontId="19" fillId="7" borderId="1" xfId="0" quotePrefix="1" applyFont="1" applyFill="1" applyBorder="1" applyAlignment="1">
      <alignment vertical="top" wrapText="1"/>
    </xf>
    <xf numFmtId="0" fontId="26" fillId="7" borderId="1" xfId="0" applyFont="1" applyFill="1" applyBorder="1" applyAlignment="1">
      <alignment horizontal="right" vertical="center" wrapText="1"/>
    </xf>
    <xf numFmtId="0" fontId="1" fillId="0" borderId="1" xfId="0" applyFont="1" applyBorder="1"/>
    <xf numFmtId="0" fontId="25" fillId="0" borderId="1" xfId="3" applyFont="1" applyBorder="1"/>
    <xf numFmtId="0" fontId="28" fillId="7" borderId="1" xfId="0" applyFont="1" applyFill="1" applyBorder="1"/>
    <xf numFmtId="0" fontId="29" fillId="0" borderId="0" xfId="0" applyFont="1"/>
    <xf numFmtId="0" fontId="23" fillId="7" borderId="1" xfId="0" applyFont="1" applyFill="1" applyBorder="1" applyAlignment="1">
      <alignment horizontal="left" vertical="top" wrapText="1"/>
    </xf>
    <xf numFmtId="1" fontId="23" fillId="7" borderId="1" xfId="0" applyNumberFormat="1" applyFont="1" applyFill="1" applyBorder="1" applyAlignment="1">
      <alignment horizontal="center" vertical="center" wrapText="1"/>
    </xf>
    <xf numFmtId="0" fontId="23" fillId="7" borderId="1" xfId="0" applyFont="1" applyFill="1" applyBorder="1" applyAlignment="1">
      <alignment horizontal="center" vertical="center" wrapText="1"/>
    </xf>
    <xf numFmtId="0" fontId="23" fillId="7" borderId="1" xfId="0" applyFont="1" applyFill="1" applyBorder="1" applyAlignment="1">
      <alignment horizontal="center" vertical="center"/>
    </xf>
    <xf numFmtId="164" fontId="2" fillId="6" borderId="1" xfId="0" applyNumberFormat="1" applyFont="1" applyFill="1" applyBorder="1" applyAlignment="1">
      <alignment horizontal="center" vertical="center"/>
    </xf>
    <xf numFmtId="164" fontId="2" fillId="4" borderId="1" xfId="0" applyNumberFormat="1" applyFont="1" applyFill="1" applyBorder="1" applyAlignment="1">
      <alignment horizontal="center" vertical="center"/>
    </xf>
    <xf numFmtId="1" fontId="2" fillId="0" borderId="1" xfId="0" applyNumberFormat="1" applyFont="1" applyBorder="1" applyAlignment="1">
      <alignment horizontal="center" vertical="center" wrapText="1"/>
    </xf>
    <xf numFmtId="164"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3" fillId="0" borderId="1" xfId="0" applyFont="1" applyBorder="1" applyAlignment="1">
      <alignment horizontal="center" vertical="center"/>
    </xf>
    <xf numFmtId="164" fontId="23" fillId="7" borderId="6" xfId="0" applyNumberFormat="1" applyFont="1" applyFill="1" applyBorder="1" applyAlignment="1">
      <alignment horizontal="left" vertical="center"/>
    </xf>
    <xf numFmtId="164" fontId="23" fillId="7" borderId="12" xfId="0" applyNumberFormat="1" applyFont="1" applyFill="1" applyBorder="1" applyAlignment="1">
      <alignment horizontal="left" vertical="center"/>
    </xf>
    <xf numFmtId="164" fontId="23" fillId="7" borderId="10" xfId="0" applyNumberFormat="1" applyFont="1" applyFill="1" applyBorder="1" applyAlignment="1">
      <alignment horizontal="left" vertical="center"/>
    </xf>
    <xf numFmtId="0" fontId="23" fillId="7" borderId="2" xfId="0" applyFont="1" applyFill="1" applyBorder="1" applyAlignment="1">
      <alignment horizontal="center" vertical="center" wrapText="1"/>
    </xf>
    <xf numFmtId="0" fontId="23" fillId="7" borderId="3" xfId="0" applyFont="1" applyFill="1" applyBorder="1" applyAlignment="1">
      <alignment horizontal="center" vertical="center" wrapText="1"/>
    </xf>
    <xf numFmtId="164" fontId="23" fillId="7" borderId="2" xfId="0" applyNumberFormat="1" applyFont="1" applyFill="1" applyBorder="1" applyAlignment="1">
      <alignment horizontal="center" vertical="center" wrapText="1"/>
    </xf>
    <xf numFmtId="164" fontId="23" fillId="7" borderId="3" xfId="0" applyNumberFormat="1" applyFont="1" applyFill="1" applyBorder="1" applyAlignment="1">
      <alignment horizontal="center" vertical="center" wrapText="1"/>
    </xf>
    <xf numFmtId="1" fontId="23" fillId="7" borderId="2" xfId="0" applyNumberFormat="1" applyFont="1" applyFill="1" applyBorder="1" applyAlignment="1">
      <alignment horizontal="center" vertical="center" wrapText="1"/>
    </xf>
    <xf numFmtId="1" fontId="23" fillId="7" borderId="3" xfId="0" applyNumberFormat="1" applyFont="1" applyFill="1" applyBorder="1" applyAlignment="1">
      <alignment horizontal="center" vertical="center" wrapText="1"/>
    </xf>
    <xf numFmtId="164" fontId="23" fillId="7" borderId="1" xfId="0" applyNumberFormat="1" applyFont="1" applyFill="1" applyBorder="1" applyAlignment="1">
      <alignment horizontal="center" vertical="center" wrapText="1"/>
    </xf>
    <xf numFmtId="164" fontId="23" fillId="7" borderId="1" xfId="0" applyNumberFormat="1" applyFont="1" applyFill="1" applyBorder="1" applyAlignment="1">
      <alignment horizontal="center" vertical="center"/>
    </xf>
    <xf numFmtId="49" fontId="23" fillId="7" borderId="2" xfId="0" applyNumberFormat="1" applyFont="1" applyFill="1" applyBorder="1" applyAlignment="1">
      <alignment horizontal="center" vertical="center" wrapText="1"/>
    </xf>
    <xf numFmtId="49" fontId="23" fillId="7" borderId="3" xfId="0" applyNumberFormat="1" applyFont="1" applyFill="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2" xfId="0" quotePrefix="1" applyFont="1" applyBorder="1" applyAlignment="1">
      <alignment horizontal="left" vertical="center" wrapText="1"/>
    </xf>
    <xf numFmtId="0" fontId="1" fillId="0" borderId="3" xfId="0" quotePrefix="1" applyFont="1" applyBorder="1" applyAlignment="1">
      <alignment horizontal="left" vertical="center" wrapText="1"/>
    </xf>
    <xf numFmtId="0" fontId="1" fillId="0" borderId="1" xfId="0" quotePrefix="1" applyFont="1" applyBorder="1" applyAlignment="1">
      <alignment horizontal="lef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wrapText="1"/>
    </xf>
    <xf numFmtId="0" fontId="2" fillId="0" borderId="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19" fillId="0" borderId="1" xfId="0" applyFont="1" applyBorder="1" applyAlignment="1">
      <alignment horizontal="left" vertical="center"/>
    </xf>
  </cellXfs>
  <cellStyles count="4">
    <cellStyle name="Excel_BuiltIn_Bad" xfId="2" xr:uid="{00687D2E-114A-4421-BB52-6B5F3AA6FB42}"/>
    <cellStyle name="Hyperlink" xfId="3" builtinId="8"/>
    <cellStyle name="Normal" xfId="0" builtinId="0"/>
    <cellStyle name="Normal 2 3" xfId="1" xr:uid="{50A82E93-9333-4249-8037-6C0447A8782E}"/>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5050"/>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strRef>
              <c:f>Sheet2!$B$3:$B$24</c:f>
              <c:strCache>
                <c:ptCount val="22"/>
                <c:pt idx="0">
                  <c:v>VHL</c:v>
                </c:pt>
                <c:pt idx="1">
                  <c:v>PBRM1</c:v>
                </c:pt>
                <c:pt idx="2">
                  <c:v>SETD2</c:v>
                </c:pt>
                <c:pt idx="3">
                  <c:v>BAP1</c:v>
                </c:pt>
                <c:pt idx="4">
                  <c:v>KDM5C</c:v>
                </c:pt>
                <c:pt idx="5">
                  <c:v>MTOR</c:v>
                </c:pt>
                <c:pt idx="6">
                  <c:v>CSMD3</c:v>
                </c:pt>
                <c:pt idx="7">
                  <c:v>TP53</c:v>
                </c:pt>
                <c:pt idx="8">
                  <c:v>TSC1</c:v>
                </c:pt>
                <c:pt idx="9">
                  <c:v>PTEN</c:v>
                </c:pt>
                <c:pt idx="10">
                  <c:v>TSC2</c:v>
                </c:pt>
                <c:pt idx="11">
                  <c:v>ARID1A</c:v>
                </c:pt>
                <c:pt idx="12">
                  <c:v>TCEB1</c:v>
                </c:pt>
                <c:pt idx="13">
                  <c:v>PIK3CA</c:v>
                </c:pt>
                <c:pt idx="14">
                  <c:v>NF2</c:v>
                </c:pt>
                <c:pt idx="15">
                  <c:v>ROS1</c:v>
                </c:pt>
                <c:pt idx="16">
                  <c:v>ERBB3</c:v>
                </c:pt>
                <c:pt idx="17">
                  <c:v>TNN</c:v>
                </c:pt>
                <c:pt idx="18">
                  <c:v>ABCA1</c:v>
                </c:pt>
                <c:pt idx="19">
                  <c:v>UGT1A1</c:v>
                </c:pt>
                <c:pt idx="20">
                  <c:v>MUC4</c:v>
                </c:pt>
                <c:pt idx="21">
                  <c:v>TET2</c:v>
                </c:pt>
              </c:strCache>
            </c:strRef>
          </c:cat>
          <c:val>
            <c:numRef>
              <c:f>Sheet2!$C$3:$C$24</c:f>
              <c:numCache>
                <c:formatCode>General</c:formatCode>
                <c:ptCount val="22"/>
                <c:pt idx="0">
                  <c:v>63.583240180032043</c:v>
                </c:pt>
                <c:pt idx="1">
                  <c:v>36.554512150524118</c:v>
                </c:pt>
                <c:pt idx="2">
                  <c:v>22.923167156557835</c:v>
                </c:pt>
                <c:pt idx="3">
                  <c:v>17.006481991184067</c:v>
                </c:pt>
                <c:pt idx="4">
                  <c:v>13.755350492376357</c:v>
                </c:pt>
                <c:pt idx="5">
                  <c:v>11.902134736879285</c:v>
                </c:pt>
                <c:pt idx="6">
                  <c:v>8.8704427875836878</c:v>
                </c:pt>
                <c:pt idx="7">
                  <c:v>9.2731004474057954</c:v>
                </c:pt>
                <c:pt idx="8">
                  <c:v>8.3881806476930745</c:v>
                </c:pt>
                <c:pt idx="9">
                  <c:v>10.91156748911466</c:v>
                </c:pt>
                <c:pt idx="10">
                  <c:v>4.7933556223650564</c:v>
                </c:pt>
                <c:pt idx="11">
                  <c:v>5.8892180470619309</c:v>
                </c:pt>
                <c:pt idx="12">
                  <c:v>2.0858490566037737</c:v>
                </c:pt>
                <c:pt idx="13">
                  <c:v>4.6762122734546541</c:v>
                </c:pt>
                <c:pt idx="14">
                  <c:v>2.5086021505376341</c:v>
                </c:pt>
                <c:pt idx="15">
                  <c:v>11.414516129032258</c:v>
                </c:pt>
                <c:pt idx="16">
                  <c:v>22.58064516129032</c:v>
                </c:pt>
                <c:pt idx="17">
                  <c:v>17.600000000000001</c:v>
                </c:pt>
                <c:pt idx="18">
                  <c:v>27</c:v>
                </c:pt>
                <c:pt idx="19">
                  <c:v>24.8</c:v>
                </c:pt>
                <c:pt idx="20">
                  <c:v>18.8</c:v>
                </c:pt>
                <c:pt idx="21">
                  <c:v>4.6500000000000004</c:v>
                </c:pt>
              </c:numCache>
            </c:numRef>
          </c:val>
          <c:extLst>
            <c:ext xmlns:c16="http://schemas.microsoft.com/office/drawing/2014/chart" uri="{C3380CC4-5D6E-409C-BE32-E72D297353CC}">
              <c16:uniqueId val="{00000000-E1B5-46CB-A993-84F4E3C052D2}"/>
            </c:ext>
          </c:extLst>
        </c:ser>
        <c:dLbls>
          <c:showLegendKey val="0"/>
          <c:showVal val="0"/>
          <c:showCatName val="0"/>
          <c:showSerName val="0"/>
          <c:showPercent val="0"/>
          <c:showBubbleSize val="0"/>
        </c:dLbls>
        <c:gapWidth val="219"/>
        <c:overlap val="-27"/>
        <c:axId val="571740288"/>
        <c:axId val="571742912"/>
      </c:barChart>
      <c:catAx>
        <c:axId val="57174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71742912"/>
        <c:crosses val="autoZero"/>
        <c:auto val="1"/>
        <c:lblAlgn val="ctr"/>
        <c:lblOffset val="100"/>
        <c:noMultiLvlLbl val="0"/>
      </c:catAx>
      <c:valAx>
        <c:axId val="571742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7174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SCNAs</a:t>
            </a:r>
            <a:endParaRPr lang="vi-VN"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barChart>
        <c:barDir val="bar"/>
        <c:grouping val="clustered"/>
        <c:varyColors val="0"/>
        <c:ser>
          <c:idx val="0"/>
          <c:order val="0"/>
          <c:spPr>
            <a:solidFill>
              <a:schemeClr val="accent1"/>
            </a:solidFill>
            <a:ln>
              <a:noFill/>
            </a:ln>
            <a:effectLst/>
          </c:spPr>
          <c:invertIfNegative val="0"/>
          <c:cat>
            <c:strRef>
              <c:f>Sheet3!$A$3:$A$172</c:f>
              <c:strCache>
                <c:ptCount val="170"/>
                <c:pt idx="0">
                  <c:v>1p36.11</c:v>
                </c:pt>
                <c:pt idx="1">
                  <c:v>1p36.32-376.31</c:v>
                </c:pt>
                <c:pt idx="2">
                  <c:v>1p</c:v>
                </c:pt>
                <c:pt idx="3">
                  <c:v>1</c:v>
                </c:pt>
                <c:pt idx="4">
                  <c:v>1p11-22</c:v>
                </c:pt>
                <c:pt idx="5">
                  <c:v>1p31-ter</c:v>
                </c:pt>
                <c:pt idx="6">
                  <c:v>3</c:v>
                </c:pt>
                <c:pt idx="7">
                  <c:v>2q37.3</c:v>
                </c:pt>
                <c:pt idx="8">
                  <c:v>3p</c:v>
                </c:pt>
                <c:pt idx="9">
                  <c:v>3p11-14</c:v>
                </c:pt>
                <c:pt idx="10">
                  <c:v>3p14.1-14.2</c:v>
                </c:pt>
                <c:pt idx="11">
                  <c:v>3p20-ter</c:v>
                </c:pt>
                <c:pt idx="12">
                  <c:v>3p14.3-3p21.1</c:v>
                </c:pt>
                <c:pt idx="13">
                  <c:v>3p21</c:v>
                </c:pt>
                <c:pt idx="14">
                  <c:v>3p21.31-22.3</c:v>
                </c:pt>
                <c:pt idx="15">
                  <c:v>3p22.2</c:v>
                </c:pt>
                <c:pt idx="16">
                  <c:v>3p25.3</c:v>
                </c:pt>
                <c:pt idx="17">
                  <c:v>3p25.3-25.1</c:v>
                </c:pt>
                <c:pt idx="18">
                  <c:v>3p26-25</c:v>
                </c:pt>
                <c:pt idx="19">
                  <c:v>3p26.3-p24.3</c:v>
                </c:pt>
                <c:pt idx="20">
                  <c:v>3p26.3p21</c:v>
                </c:pt>
                <c:pt idx="21">
                  <c:v>3p26.3-26.2</c:v>
                </c:pt>
                <c:pt idx="22">
                  <c:v>3q</c:v>
                </c:pt>
                <c:pt idx="23">
                  <c:v>4p12-ter</c:v>
                </c:pt>
                <c:pt idx="24">
                  <c:v>4q</c:v>
                </c:pt>
                <c:pt idx="25">
                  <c:v>4</c:v>
                </c:pt>
                <c:pt idx="26">
                  <c:v>4q34.3</c:v>
                </c:pt>
                <c:pt idx="27">
                  <c:v>6</c:v>
                </c:pt>
                <c:pt idx="28">
                  <c:v>6p21</c:v>
                </c:pt>
                <c:pt idx="29">
                  <c:v>6q</c:v>
                </c:pt>
                <c:pt idx="30">
                  <c:v>6q22.33</c:v>
                </c:pt>
                <c:pt idx="31">
                  <c:v>6q25</c:v>
                </c:pt>
                <c:pt idx="32">
                  <c:v>6q26</c:v>
                </c:pt>
                <c:pt idx="33">
                  <c:v>8</c:v>
                </c:pt>
                <c:pt idx="34">
                  <c:v>8p</c:v>
                </c:pt>
                <c:pt idx="35">
                  <c:v>8p12</c:v>
                </c:pt>
                <c:pt idx="36">
                  <c:v>8p21.1</c:v>
                </c:pt>
                <c:pt idx="37">
                  <c:v>8p21.3</c:v>
                </c:pt>
                <c:pt idx="38">
                  <c:v>8p22</c:v>
                </c:pt>
                <c:pt idx="39">
                  <c:v>8p23</c:v>
                </c:pt>
                <c:pt idx="40">
                  <c:v>8p23.2</c:v>
                </c:pt>
                <c:pt idx="41">
                  <c:v>8p23.3</c:v>
                </c:pt>
                <c:pt idx="42">
                  <c:v>9</c:v>
                </c:pt>
                <c:pt idx="43">
                  <c:v>9p</c:v>
                </c:pt>
                <c:pt idx="44">
                  <c:v>9p21.3</c:v>
                </c:pt>
                <c:pt idx="45">
                  <c:v>9q</c:v>
                </c:pt>
                <c:pt idx="46">
                  <c:v>9q12-33</c:v>
                </c:pt>
                <c:pt idx="47">
                  <c:v>9q21.13-ter</c:v>
                </c:pt>
                <c:pt idx="48">
                  <c:v>9q33.3-34.1</c:v>
                </c:pt>
                <c:pt idx="49">
                  <c:v>9q34</c:v>
                </c:pt>
                <c:pt idx="50">
                  <c:v>10</c:v>
                </c:pt>
                <c:pt idx="51">
                  <c:v>10q</c:v>
                </c:pt>
                <c:pt idx="52">
                  <c:v>10q26</c:v>
                </c:pt>
                <c:pt idx="53">
                  <c:v>10q23</c:v>
                </c:pt>
                <c:pt idx="54">
                  <c:v>10p12-ter</c:v>
                </c:pt>
                <c:pt idx="55">
                  <c:v>12</c:v>
                </c:pt>
                <c:pt idx="56">
                  <c:v>13</c:v>
                </c:pt>
                <c:pt idx="57">
                  <c:v>13p</c:v>
                </c:pt>
                <c:pt idx="58">
                  <c:v>13q</c:v>
                </c:pt>
                <c:pt idx="59">
                  <c:v>13q12-22</c:v>
                </c:pt>
                <c:pt idx="60">
                  <c:v>14</c:v>
                </c:pt>
                <c:pt idx="61">
                  <c:v>14q24-31</c:v>
                </c:pt>
                <c:pt idx="62">
                  <c:v>14q</c:v>
                </c:pt>
                <c:pt idx="63">
                  <c:v>14q31.1</c:v>
                </c:pt>
                <c:pt idx="64">
                  <c:v>14q11.2</c:v>
                </c:pt>
                <c:pt idx="65">
                  <c:v>14q32</c:v>
                </c:pt>
                <c:pt idx="66">
                  <c:v>15</c:v>
                </c:pt>
                <c:pt idx="67">
                  <c:v>17p12-ter</c:v>
                </c:pt>
                <c:pt idx="68">
                  <c:v>18</c:v>
                </c:pt>
                <c:pt idx="69">
                  <c:v>18q</c:v>
                </c:pt>
                <c:pt idx="70">
                  <c:v>18q12-23</c:v>
                </c:pt>
                <c:pt idx="71">
                  <c:v>18q21.32</c:v>
                </c:pt>
                <c:pt idx="72">
                  <c:v>19q</c:v>
                </c:pt>
                <c:pt idx="73">
                  <c:v>19q13</c:v>
                </c:pt>
                <c:pt idx="74">
                  <c:v>22q</c:v>
                </c:pt>
                <c:pt idx="75">
                  <c:v>22q13.1-13.2</c:v>
                </c:pt>
                <c:pt idx="76">
                  <c:v>1q25.1</c:v>
                </c:pt>
                <c:pt idx="77">
                  <c:v>1q21.3</c:v>
                </c:pt>
                <c:pt idx="78">
                  <c:v>1q21</c:v>
                </c:pt>
                <c:pt idx="79">
                  <c:v>1p11-13</c:v>
                </c:pt>
                <c:pt idx="80">
                  <c:v>1p20-32</c:v>
                </c:pt>
                <c:pt idx="81">
                  <c:v>1</c:v>
                </c:pt>
                <c:pt idx="82">
                  <c:v>1q</c:v>
                </c:pt>
                <c:pt idx="83">
                  <c:v>2q14.3</c:v>
                </c:pt>
                <c:pt idx="84">
                  <c:v>3q</c:v>
                </c:pt>
                <c:pt idx="85">
                  <c:v>3q21.3</c:v>
                </c:pt>
                <c:pt idx="86">
                  <c:v>3p11-ter</c:v>
                </c:pt>
                <c:pt idx="87">
                  <c:v>3q13-29</c:v>
                </c:pt>
                <c:pt idx="88">
                  <c:v>4q21-32</c:v>
                </c:pt>
                <c:pt idx="89">
                  <c:v>4q15.1-13.1</c:v>
                </c:pt>
                <c:pt idx="90">
                  <c:v>4q26-q28.1</c:v>
                </c:pt>
                <c:pt idx="91">
                  <c:v>5</c:v>
                </c:pt>
                <c:pt idx="92">
                  <c:v>5q</c:v>
                </c:pt>
                <c:pt idx="93">
                  <c:v>5q15.33</c:v>
                </c:pt>
                <c:pt idx="94">
                  <c:v>5q15.2</c:v>
                </c:pt>
                <c:pt idx="95">
                  <c:v>5q15.1-14.1</c:v>
                </c:pt>
                <c:pt idx="96">
                  <c:v>5q11.2-12.3</c:v>
                </c:pt>
                <c:pt idx="97">
                  <c:v>5q14.3-21.3</c:v>
                </c:pt>
                <c:pt idx="98">
                  <c:v>5q15</c:v>
                </c:pt>
                <c:pt idx="99">
                  <c:v>5q21-ter</c:v>
                </c:pt>
                <c:pt idx="100">
                  <c:v>5q23.1-34</c:v>
                </c:pt>
                <c:pt idx="101">
                  <c:v>5q22.3-23.2</c:v>
                </c:pt>
                <c:pt idx="102">
                  <c:v>5q31</c:v>
                </c:pt>
                <c:pt idx="103">
                  <c:v>5q33.1</c:v>
                </c:pt>
                <c:pt idx="104">
                  <c:v>5q35.1</c:v>
                </c:pt>
                <c:pt idx="105">
                  <c:v>5q35.2</c:v>
                </c:pt>
                <c:pt idx="106">
                  <c:v>5q35.3</c:v>
                </c:pt>
                <c:pt idx="107">
                  <c:v>5p</c:v>
                </c:pt>
                <c:pt idx="108">
                  <c:v>7</c:v>
                </c:pt>
                <c:pt idx="109">
                  <c:v>7p</c:v>
                </c:pt>
                <c:pt idx="110">
                  <c:v>7p13-ter</c:v>
                </c:pt>
                <c:pt idx="111">
                  <c:v>7p14</c:v>
                </c:pt>
                <c:pt idx="112">
                  <c:v>7p21.3-21.2</c:v>
                </c:pt>
                <c:pt idx="113">
                  <c:v>7q</c:v>
                </c:pt>
                <c:pt idx="114">
                  <c:v>7q11</c:v>
                </c:pt>
                <c:pt idx="115">
                  <c:v>7q11.2</c:v>
                </c:pt>
                <c:pt idx="116">
                  <c:v>7q11.22-q35</c:v>
                </c:pt>
                <c:pt idx="117">
                  <c:v>7q21.3-21.2</c:v>
                </c:pt>
                <c:pt idx="118">
                  <c:v>7q21.11</c:v>
                </c:pt>
                <c:pt idx="119">
                  <c:v>7q21-22</c:v>
                </c:pt>
                <c:pt idx="120">
                  <c:v>7q22.3</c:v>
                </c:pt>
                <c:pt idx="121">
                  <c:v>7q31.31-31.32</c:v>
                </c:pt>
                <c:pt idx="122">
                  <c:v>7q36</c:v>
                </c:pt>
                <c:pt idx="123">
                  <c:v>8q</c:v>
                </c:pt>
                <c:pt idx="124">
                  <c:v>8p12-ter</c:v>
                </c:pt>
                <c:pt idx="125">
                  <c:v>8q24.21</c:v>
                </c:pt>
                <c:pt idx="126">
                  <c:v>8q20-ter</c:v>
                </c:pt>
                <c:pt idx="127">
                  <c:v>912-31</c:v>
                </c:pt>
                <c:pt idx="128">
                  <c:v>11</c:v>
                </c:pt>
                <c:pt idx="129">
                  <c:v>11p15.1-12.1</c:v>
                </c:pt>
                <c:pt idx="130">
                  <c:v>q14.2-22.3</c:v>
                </c:pt>
                <c:pt idx="131">
                  <c:v>12</c:v>
                </c:pt>
                <c:pt idx="132">
                  <c:v>12p</c:v>
                </c:pt>
                <c:pt idx="133">
                  <c:v>12p11.21</c:v>
                </c:pt>
                <c:pt idx="134">
                  <c:v>12p11-ter</c:v>
                </c:pt>
                <c:pt idx="135">
                  <c:v>12q12-15</c:v>
                </c:pt>
                <c:pt idx="136">
                  <c:v>12q13.2-q14.1</c:v>
                </c:pt>
                <c:pt idx="137">
                  <c:v>12q13.1</c:v>
                </c:pt>
                <c:pt idx="138">
                  <c:v>12q13.2-12q13.3</c:v>
                </c:pt>
                <c:pt idx="139">
                  <c:v>12q14-ter</c:v>
                </c:pt>
                <c:pt idx="140">
                  <c:v>12q21.31-23.1</c:v>
                </c:pt>
                <c:pt idx="141">
                  <c:v>12q</c:v>
                </c:pt>
                <c:pt idx="142">
                  <c:v>12q24</c:v>
                </c:pt>
                <c:pt idx="143">
                  <c:v>14q21.1-21.3</c:v>
                </c:pt>
                <c:pt idx="144">
                  <c:v>16</c:v>
                </c:pt>
                <c:pt idx="145">
                  <c:v>16p12-13</c:v>
                </c:pt>
                <c:pt idx="146">
                  <c:v>16p12.3-13.2</c:v>
                </c:pt>
                <c:pt idx="147">
                  <c:v>16p13.3</c:v>
                </c:pt>
                <c:pt idx="148">
                  <c:v>16q</c:v>
                </c:pt>
                <c:pt idx="149">
                  <c:v>16q11.2-11.1</c:v>
                </c:pt>
                <c:pt idx="150">
                  <c:v>16q11.2-16q12.1</c:v>
                </c:pt>
                <c:pt idx="151">
                  <c:v>16q21-24</c:v>
                </c:pt>
                <c:pt idx="152">
                  <c:v>17</c:v>
                </c:pt>
                <c:pt idx="153">
                  <c:v>17p12-ter</c:v>
                </c:pt>
                <c:pt idx="154">
                  <c:v>17q12-ter</c:v>
                </c:pt>
                <c:pt idx="155">
                  <c:v>17q25</c:v>
                </c:pt>
                <c:pt idx="156">
                  <c:v>18</c:v>
                </c:pt>
                <c:pt idx="157">
                  <c:v>19</c:v>
                </c:pt>
                <c:pt idx="158">
                  <c:v>19p12-11</c:v>
                </c:pt>
                <c:pt idx="159">
                  <c:v>20</c:v>
                </c:pt>
                <c:pt idx="160">
                  <c:v>20p</c:v>
                </c:pt>
                <c:pt idx="161">
                  <c:v>20q11.21</c:v>
                </c:pt>
                <c:pt idx="162">
                  <c:v>20p11.2-20p12</c:v>
                </c:pt>
                <c:pt idx="163">
                  <c:v>20q12-ter</c:v>
                </c:pt>
                <c:pt idx="164">
                  <c:v>20q13.1</c:v>
                </c:pt>
                <c:pt idx="165">
                  <c:v>20q13.33</c:v>
                </c:pt>
                <c:pt idx="166">
                  <c:v>21</c:v>
                </c:pt>
                <c:pt idx="167">
                  <c:v>22</c:v>
                </c:pt>
                <c:pt idx="168">
                  <c:v>21q22</c:v>
                </c:pt>
                <c:pt idx="169">
                  <c:v>22p13-11.2</c:v>
                </c:pt>
              </c:strCache>
            </c:strRef>
          </c:cat>
          <c:val>
            <c:numRef>
              <c:f>Sheet3!$B$3:$B$172</c:f>
              <c:numCache>
                <c:formatCode>General</c:formatCode>
                <c:ptCount val="170"/>
                <c:pt idx="0">
                  <c:v>-43.5608490566038</c:v>
                </c:pt>
                <c:pt idx="1">
                  <c:v>-93</c:v>
                </c:pt>
                <c:pt idx="2">
                  <c:v>-17.266666666666701</c:v>
                </c:pt>
                <c:pt idx="3">
                  <c:v>-13.6666666666667</c:v>
                </c:pt>
                <c:pt idx="4">
                  <c:v>-41.304347826087003</c:v>
                </c:pt>
                <c:pt idx="5">
                  <c:v>-28.260869565217401</c:v>
                </c:pt>
                <c:pt idx="6">
                  <c:v>-65.72</c:v>
                </c:pt>
                <c:pt idx="7">
                  <c:v>-52.5</c:v>
                </c:pt>
                <c:pt idx="8">
                  <c:v>-79.112518163324594</c:v>
                </c:pt>
                <c:pt idx="9">
                  <c:v>-15.2173913043478</c:v>
                </c:pt>
                <c:pt idx="10">
                  <c:v>-77</c:v>
                </c:pt>
                <c:pt idx="11">
                  <c:v>-32.6086956521739</c:v>
                </c:pt>
                <c:pt idx="12">
                  <c:v>-86.274509803921603</c:v>
                </c:pt>
                <c:pt idx="13">
                  <c:v>-95</c:v>
                </c:pt>
                <c:pt idx="14">
                  <c:v>-81</c:v>
                </c:pt>
                <c:pt idx="15">
                  <c:v>-87.3333333333333</c:v>
                </c:pt>
                <c:pt idx="16">
                  <c:v>-76.699382265042999</c:v>
                </c:pt>
                <c:pt idx="17">
                  <c:v>-86.5</c:v>
                </c:pt>
                <c:pt idx="18">
                  <c:v>-55.8</c:v>
                </c:pt>
                <c:pt idx="19">
                  <c:v>-96</c:v>
                </c:pt>
                <c:pt idx="20">
                  <c:v>-89</c:v>
                </c:pt>
                <c:pt idx="21">
                  <c:v>-96</c:v>
                </c:pt>
                <c:pt idx="22">
                  <c:v>-22.55</c:v>
                </c:pt>
                <c:pt idx="23">
                  <c:v>-19.565217391304301</c:v>
                </c:pt>
                <c:pt idx="24">
                  <c:v>-21.9469565217391</c:v>
                </c:pt>
                <c:pt idx="25">
                  <c:v>-15</c:v>
                </c:pt>
                <c:pt idx="26">
                  <c:v>-27.470391277451299</c:v>
                </c:pt>
                <c:pt idx="27">
                  <c:v>-24.5</c:v>
                </c:pt>
                <c:pt idx="28">
                  <c:v>-33</c:v>
                </c:pt>
                <c:pt idx="29">
                  <c:v>-23.360144927536201</c:v>
                </c:pt>
                <c:pt idx="30">
                  <c:v>-26.216158366841899</c:v>
                </c:pt>
                <c:pt idx="31">
                  <c:v>-33.745098039215698</c:v>
                </c:pt>
                <c:pt idx="32">
                  <c:v>-34</c:v>
                </c:pt>
                <c:pt idx="33">
                  <c:v>-17.5</c:v>
                </c:pt>
                <c:pt idx="34">
                  <c:v>-24.5409937888199</c:v>
                </c:pt>
                <c:pt idx="35">
                  <c:v>-36.725490196078397</c:v>
                </c:pt>
                <c:pt idx="36">
                  <c:v>-50</c:v>
                </c:pt>
                <c:pt idx="37">
                  <c:v>-50</c:v>
                </c:pt>
                <c:pt idx="38">
                  <c:v>-50</c:v>
                </c:pt>
                <c:pt idx="39">
                  <c:v>-20.212765957446798</c:v>
                </c:pt>
                <c:pt idx="40">
                  <c:v>-31.5080961954841</c:v>
                </c:pt>
                <c:pt idx="41">
                  <c:v>-31</c:v>
                </c:pt>
                <c:pt idx="42">
                  <c:v>-31.255555555555599</c:v>
                </c:pt>
                <c:pt idx="43">
                  <c:v>-26.206310472494</c:v>
                </c:pt>
                <c:pt idx="44">
                  <c:v>-40.497772966285197</c:v>
                </c:pt>
                <c:pt idx="45">
                  <c:v>-22.8333333333333</c:v>
                </c:pt>
                <c:pt idx="46">
                  <c:v>-28.260869565217401</c:v>
                </c:pt>
                <c:pt idx="47">
                  <c:v>-19</c:v>
                </c:pt>
                <c:pt idx="48">
                  <c:v>-78</c:v>
                </c:pt>
                <c:pt idx="49">
                  <c:v>-65</c:v>
                </c:pt>
                <c:pt idx="50">
                  <c:v>-16.6666666666667</c:v>
                </c:pt>
                <c:pt idx="51">
                  <c:v>-22.65</c:v>
                </c:pt>
                <c:pt idx="52">
                  <c:v>-38</c:v>
                </c:pt>
                <c:pt idx="53">
                  <c:v>-35</c:v>
                </c:pt>
                <c:pt idx="54">
                  <c:v>-21.739130434782599</c:v>
                </c:pt>
                <c:pt idx="55">
                  <c:v>-12</c:v>
                </c:pt>
                <c:pt idx="56">
                  <c:v>-7.5</c:v>
                </c:pt>
                <c:pt idx="57">
                  <c:v>-26.086956521739101</c:v>
                </c:pt>
                <c:pt idx="58">
                  <c:v>-15.2</c:v>
                </c:pt>
                <c:pt idx="59">
                  <c:v>-41.304347826087003</c:v>
                </c:pt>
                <c:pt idx="60">
                  <c:v>-20.52</c:v>
                </c:pt>
                <c:pt idx="61">
                  <c:v>-54.8</c:v>
                </c:pt>
                <c:pt idx="62">
                  <c:v>-36.771428571428601</c:v>
                </c:pt>
                <c:pt idx="63">
                  <c:v>-40.745443860191799</c:v>
                </c:pt>
                <c:pt idx="64">
                  <c:v>-17</c:v>
                </c:pt>
                <c:pt idx="65">
                  <c:v>-53</c:v>
                </c:pt>
                <c:pt idx="66">
                  <c:v>-5.5</c:v>
                </c:pt>
                <c:pt idx="67">
                  <c:v>-23.913043478260899</c:v>
                </c:pt>
                <c:pt idx="68">
                  <c:v>-12.766666666666699</c:v>
                </c:pt>
                <c:pt idx="69">
                  <c:v>-30</c:v>
                </c:pt>
                <c:pt idx="70">
                  <c:v>-23.913043478260899</c:v>
                </c:pt>
                <c:pt idx="71">
                  <c:v>-19.6078431372549</c:v>
                </c:pt>
                <c:pt idx="72">
                  <c:v>-13.0434782608696</c:v>
                </c:pt>
                <c:pt idx="73">
                  <c:v>-50</c:v>
                </c:pt>
                <c:pt idx="74">
                  <c:v>-10.3</c:v>
                </c:pt>
                <c:pt idx="75">
                  <c:v>-78</c:v>
                </c:pt>
              </c:numCache>
            </c:numRef>
          </c:val>
          <c:extLst>
            <c:ext xmlns:c16="http://schemas.microsoft.com/office/drawing/2014/chart" uri="{C3380CC4-5D6E-409C-BE32-E72D297353CC}">
              <c16:uniqueId val="{00000000-EA58-4C83-943B-F190F3179F38}"/>
            </c:ext>
          </c:extLst>
        </c:ser>
        <c:ser>
          <c:idx val="1"/>
          <c:order val="1"/>
          <c:spPr>
            <a:solidFill>
              <a:schemeClr val="accent2"/>
            </a:solidFill>
            <a:ln>
              <a:noFill/>
            </a:ln>
            <a:effectLst/>
          </c:spPr>
          <c:invertIfNegative val="0"/>
          <c:cat>
            <c:strRef>
              <c:f>Sheet3!$A$3:$A$172</c:f>
              <c:strCache>
                <c:ptCount val="170"/>
                <c:pt idx="0">
                  <c:v>1p36.11</c:v>
                </c:pt>
                <c:pt idx="1">
                  <c:v>1p36.32-376.31</c:v>
                </c:pt>
                <c:pt idx="2">
                  <c:v>1p</c:v>
                </c:pt>
                <c:pt idx="3">
                  <c:v>1</c:v>
                </c:pt>
                <c:pt idx="4">
                  <c:v>1p11-22</c:v>
                </c:pt>
                <c:pt idx="5">
                  <c:v>1p31-ter</c:v>
                </c:pt>
                <c:pt idx="6">
                  <c:v>3</c:v>
                </c:pt>
                <c:pt idx="7">
                  <c:v>2q37.3</c:v>
                </c:pt>
                <c:pt idx="8">
                  <c:v>3p</c:v>
                </c:pt>
                <c:pt idx="9">
                  <c:v>3p11-14</c:v>
                </c:pt>
                <c:pt idx="10">
                  <c:v>3p14.1-14.2</c:v>
                </c:pt>
                <c:pt idx="11">
                  <c:v>3p20-ter</c:v>
                </c:pt>
                <c:pt idx="12">
                  <c:v>3p14.3-3p21.1</c:v>
                </c:pt>
                <c:pt idx="13">
                  <c:v>3p21</c:v>
                </c:pt>
                <c:pt idx="14">
                  <c:v>3p21.31-22.3</c:v>
                </c:pt>
                <c:pt idx="15">
                  <c:v>3p22.2</c:v>
                </c:pt>
                <c:pt idx="16">
                  <c:v>3p25.3</c:v>
                </c:pt>
                <c:pt idx="17">
                  <c:v>3p25.3-25.1</c:v>
                </c:pt>
                <c:pt idx="18">
                  <c:v>3p26-25</c:v>
                </c:pt>
                <c:pt idx="19">
                  <c:v>3p26.3-p24.3</c:v>
                </c:pt>
                <c:pt idx="20">
                  <c:v>3p26.3p21</c:v>
                </c:pt>
                <c:pt idx="21">
                  <c:v>3p26.3-26.2</c:v>
                </c:pt>
                <c:pt idx="22">
                  <c:v>3q</c:v>
                </c:pt>
                <c:pt idx="23">
                  <c:v>4p12-ter</c:v>
                </c:pt>
                <c:pt idx="24">
                  <c:v>4q</c:v>
                </c:pt>
                <c:pt idx="25">
                  <c:v>4</c:v>
                </c:pt>
                <c:pt idx="26">
                  <c:v>4q34.3</c:v>
                </c:pt>
                <c:pt idx="27">
                  <c:v>6</c:v>
                </c:pt>
                <c:pt idx="28">
                  <c:v>6p21</c:v>
                </c:pt>
                <c:pt idx="29">
                  <c:v>6q</c:v>
                </c:pt>
                <c:pt idx="30">
                  <c:v>6q22.33</c:v>
                </c:pt>
                <c:pt idx="31">
                  <c:v>6q25</c:v>
                </c:pt>
                <c:pt idx="32">
                  <c:v>6q26</c:v>
                </c:pt>
                <c:pt idx="33">
                  <c:v>8</c:v>
                </c:pt>
                <c:pt idx="34">
                  <c:v>8p</c:v>
                </c:pt>
                <c:pt idx="35">
                  <c:v>8p12</c:v>
                </c:pt>
                <c:pt idx="36">
                  <c:v>8p21.1</c:v>
                </c:pt>
                <c:pt idx="37">
                  <c:v>8p21.3</c:v>
                </c:pt>
                <c:pt idx="38">
                  <c:v>8p22</c:v>
                </c:pt>
                <c:pt idx="39">
                  <c:v>8p23</c:v>
                </c:pt>
                <c:pt idx="40">
                  <c:v>8p23.2</c:v>
                </c:pt>
                <c:pt idx="41">
                  <c:v>8p23.3</c:v>
                </c:pt>
                <c:pt idx="42">
                  <c:v>9</c:v>
                </c:pt>
                <c:pt idx="43">
                  <c:v>9p</c:v>
                </c:pt>
                <c:pt idx="44">
                  <c:v>9p21.3</c:v>
                </c:pt>
                <c:pt idx="45">
                  <c:v>9q</c:v>
                </c:pt>
                <c:pt idx="46">
                  <c:v>9q12-33</c:v>
                </c:pt>
                <c:pt idx="47">
                  <c:v>9q21.13-ter</c:v>
                </c:pt>
                <c:pt idx="48">
                  <c:v>9q33.3-34.1</c:v>
                </c:pt>
                <c:pt idx="49">
                  <c:v>9q34</c:v>
                </c:pt>
                <c:pt idx="50">
                  <c:v>10</c:v>
                </c:pt>
                <c:pt idx="51">
                  <c:v>10q</c:v>
                </c:pt>
                <c:pt idx="52">
                  <c:v>10q26</c:v>
                </c:pt>
                <c:pt idx="53">
                  <c:v>10q23</c:v>
                </c:pt>
                <c:pt idx="54">
                  <c:v>10p12-ter</c:v>
                </c:pt>
                <c:pt idx="55">
                  <c:v>12</c:v>
                </c:pt>
                <c:pt idx="56">
                  <c:v>13</c:v>
                </c:pt>
                <c:pt idx="57">
                  <c:v>13p</c:v>
                </c:pt>
                <c:pt idx="58">
                  <c:v>13q</c:v>
                </c:pt>
                <c:pt idx="59">
                  <c:v>13q12-22</c:v>
                </c:pt>
                <c:pt idx="60">
                  <c:v>14</c:v>
                </c:pt>
                <c:pt idx="61">
                  <c:v>14q24-31</c:v>
                </c:pt>
                <c:pt idx="62">
                  <c:v>14q</c:v>
                </c:pt>
                <c:pt idx="63">
                  <c:v>14q31.1</c:v>
                </c:pt>
                <c:pt idx="64">
                  <c:v>14q11.2</c:v>
                </c:pt>
                <c:pt idx="65">
                  <c:v>14q32</c:v>
                </c:pt>
                <c:pt idx="66">
                  <c:v>15</c:v>
                </c:pt>
                <c:pt idx="67">
                  <c:v>17p12-ter</c:v>
                </c:pt>
                <c:pt idx="68">
                  <c:v>18</c:v>
                </c:pt>
                <c:pt idx="69">
                  <c:v>18q</c:v>
                </c:pt>
                <c:pt idx="70">
                  <c:v>18q12-23</c:v>
                </c:pt>
                <c:pt idx="71">
                  <c:v>18q21.32</c:v>
                </c:pt>
                <c:pt idx="72">
                  <c:v>19q</c:v>
                </c:pt>
                <c:pt idx="73">
                  <c:v>19q13</c:v>
                </c:pt>
                <c:pt idx="74">
                  <c:v>22q</c:v>
                </c:pt>
                <c:pt idx="75">
                  <c:v>22q13.1-13.2</c:v>
                </c:pt>
                <c:pt idx="76">
                  <c:v>1q25.1</c:v>
                </c:pt>
                <c:pt idx="77">
                  <c:v>1q21.3</c:v>
                </c:pt>
                <c:pt idx="78">
                  <c:v>1q21</c:v>
                </c:pt>
                <c:pt idx="79">
                  <c:v>1p11-13</c:v>
                </c:pt>
                <c:pt idx="80">
                  <c:v>1p20-32</c:v>
                </c:pt>
                <c:pt idx="81">
                  <c:v>1</c:v>
                </c:pt>
                <c:pt idx="82">
                  <c:v>1q</c:v>
                </c:pt>
                <c:pt idx="83">
                  <c:v>2q14.3</c:v>
                </c:pt>
                <c:pt idx="84">
                  <c:v>3q</c:v>
                </c:pt>
                <c:pt idx="85">
                  <c:v>3q21.3</c:v>
                </c:pt>
                <c:pt idx="86">
                  <c:v>3p11-ter</c:v>
                </c:pt>
                <c:pt idx="87">
                  <c:v>3q13-29</c:v>
                </c:pt>
                <c:pt idx="88">
                  <c:v>4q21-32</c:v>
                </c:pt>
                <c:pt idx="89">
                  <c:v>4q15.1-13.1</c:v>
                </c:pt>
                <c:pt idx="90">
                  <c:v>4q26-q28.1</c:v>
                </c:pt>
                <c:pt idx="91">
                  <c:v>5</c:v>
                </c:pt>
                <c:pt idx="92">
                  <c:v>5q</c:v>
                </c:pt>
                <c:pt idx="93">
                  <c:v>5q15.33</c:v>
                </c:pt>
                <c:pt idx="94">
                  <c:v>5q15.2</c:v>
                </c:pt>
                <c:pt idx="95">
                  <c:v>5q15.1-14.1</c:v>
                </c:pt>
                <c:pt idx="96">
                  <c:v>5q11.2-12.3</c:v>
                </c:pt>
                <c:pt idx="97">
                  <c:v>5q14.3-21.3</c:v>
                </c:pt>
                <c:pt idx="98">
                  <c:v>5q15</c:v>
                </c:pt>
                <c:pt idx="99">
                  <c:v>5q21-ter</c:v>
                </c:pt>
                <c:pt idx="100">
                  <c:v>5q23.1-34</c:v>
                </c:pt>
                <c:pt idx="101">
                  <c:v>5q22.3-23.2</c:v>
                </c:pt>
                <c:pt idx="102">
                  <c:v>5q31</c:v>
                </c:pt>
                <c:pt idx="103">
                  <c:v>5q33.1</c:v>
                </c:pt>
                <c:pt idx="104">
                  <c:v>5q35.1</c:v>
                </c:pt>
                <c:pt idx="105">
                  <c:v>5q35.2</c:v>
                </c:pt>
                <c:pt idx="106">
                  <c:v>5q35.3</c:v>
                </c:pt>
                <c:pt idx="107">
                  <c:v>5p</c:v>
                </c:pt>
                <c:pt idx="108">
                  <c:v>7</c:v>
                </c:pt>
                <c:pt idx="109">
                  <c:v>7p</c:v>
                </c:pt>
                <c:pt idx="110">
                  <c:v>7p13-ter</c:v>
                </c:pt>
                <c:pt idx="111">
                  <c:v>7p14</c:v>
                </c:pt>
                <c:pt idx="112">
                  <c:v>7p21.3-21.2</c:v>
                </c:pt>
                <c:pt idx="113">
                  <c:v>7q</c:v>
                </c:pt>
                <c:pt idx="114">
                  <c:v>7q11</c:v>
                </c:pt>
                <c:pt idx="115">
                  <c:v>7q11.2</c:v>
                </c:pt>
                <c:pt idx="116">
                  <c:v>7q11.22-q35</c:v>
                </c:pt>
                <c:pt idx="117">
                  <c:v>7q21.3-21.2</c:v>
                </c:pt>
                <c:pt idx="118">
                  <c:v>7q21.11</c:v>
                </c:pt>
                <c:pt idx="119">
                  <c:v>7q21-22</c:v>
                </c:pt>
                <c:pt idx="120">
                  <c:v>7q22.3</c:v>
                </c:pt>
                <c:pt idx="121">
                  <c:v>7q31.31-31.32</c:v>
                </c:pt>
                <c:pt idx="122">
                  <c:v>7q36</c:v>
                </c:pt>
                <c:pt idx="123">
                  <c:v>8q</c:v>
                </c:pt>
                <c:pt idx="124">
                  <c:v>8p12-ter</c:v>
                </c:pt>
                <c:pt idx="125">
                  <c:v>8q24.21</c:v>
                </c:pt>
                <c:pt idx="126">
                  <c:v>8q20-ter</c:v>
                </c:pt>
                <c:pt idx="127">
                  <c:v>912-31</c:v>
                </c:pt>
                <c:pt idx="128">
                  <c:v>11</c:v>
                </c:pt>
                <c:pt idx="129">
                  <c:v>11p15.1-12.1</c:v>
                </c:pt>
                <c:pt idx="130">
                  <c:v>q14.2-22.3</c:v>
                </c:pt>
                <c:pt idx="131">
                  <c:v>12</c:v>
                </c:pt>
                <c:pt idx="132">
                  <c:v>12p</c:v>
                </c:pt>
                <c:pt idx="133">
                  <c:v>12p11.21</c:v>
                </c:pt>
                <c:pt idx="134">
                  <c:v>12p11-ter</c:v>
                </c:pt>
                <c:pt idx="135">
                  <c:v>12q12-15</c:v>
                </c:pt>
                <c:pt idx="136">
                  <c:v>12q13.2-q14.1</c:v>
                </c:pt>
                <c:pt idx="137">
                  <c:v>12q13.1</c:v>
                </c:pt>
                <c:pt idx="138">
                  <c:v>12q13.2-12q13.3</c:v>
                </c:pt>
                <c:pt idx="139">
                  <c:v>12q14-ter</c:v>
                </c:pt>
                <c:pt idx="140">
                  <c:v>12q21.31-23.1</c:v>
                </c:pt>
                <c:pt idx="141">
                  <c:v>12q</c:v>
                </c:pt>
                <c:pt idx="142">
                  <c:v>12q24</c:v>
                </c:pt>
                <c:pt idx="143">
                  <c:v>14q21.1-21.3</c:v>
                </c:pt>
                <c:pt idx="144">
                  <c:v>16</c:v>
                </c:pt>
                <c:pt idx="145">
                  <c:v>16p12-13</c:v>
                </c:pt>
                <c:pt idx="146">
                  <c:v>16p12.3-13.2</c:v>
                </c:pt>
                <c:pt idx="147">
                  <c:v>16p13.3</c:v>
                </c:pt>
                <c:pt idx="148">
                  <c:v>16q</c:v>
                </c:pt>
                <c:pt idx="149">
                  <c:v>16q11.2-11.1</c:v>
                </c:pt>
                <c:pt idx="150">
                  <c:v>16q11.2-16q12.1</c:v>
                </c:pt>
                <c:pt idx="151">
                  <c:v>16q21-24</c:v>
                </c:pt>
                <c:pt idx="152">
                  <c:v>17</c:v>
                </c:pt>
                <c:pt idx="153">
                  <c:v>17p12-ter</c:v>
                </c:pt>
                <c:pt idx="154">
                  <c:v>17q12-ter</c:v>
                </c:pt>
                <c:pt idx="155">
                  <c:v>17q25</c:v>
                </c:pt>
                <c:pt idx="156">
                  <c:v>18</c:v>
                </c:pt>
                <c:pt idx="157">
                  <c:v>19</c:v>
                </c:pt>
                <c:pt idx="158">
                  <c:v>19p12-11</c:v>
                </c:pt>
                <c:pt idx="159">
                  <c:v>20</c:v>
                </c:pt>
                <c:pt idx="160">
                  <c:v>20p</c:v>
                </c:pt>
                <c:pt idx="161">
                  <c:v>20q11.21</c:v>
                </c:pt>
                <c:pt idx="162">
                  <c:v>20p11.2-20p12</c:v>
                </c:pt>
                <c:pt idx="163">
                  <c:v>20q12-ter</c:v>
                </c:pt>
                <c:pt idx="164">
                  <c:v>20q13.1</c:v>
                </c:pt>
                <c:pt idx="165">
                  <c:v>20q13.33</c:v>
                </c:pt>
                <c:pt idx="166">
                  <c:v>21</c:v>
                </c:pt>
                <c:pt idx="167">
                  <c:v>22</c:v>
                </c:pt>
                <c:pt idx="168">
                  <c:v>21q22</c:v>
                </c:pt>
                <c:pt idx="169">
                  <c:v>22p13-11.2</c:v>
                </c:pt>
              </c:strCache>
            </c:strRef>
          </c:cat>
          <c:val>
            <c:numRef>
              <c:f>Sheet3!$C$3:$C$172</c:f>
              <c:numCache>
                <c:formatCode>General</c:formatCode>
                <c:ptCount val="170"/>
                <c:pt idx="76">
                  <c:v>21.273082276523354</c:v>
                </c:pt>
                <c:pt idx="77">
                  <c:v>11.319148936170212</c:v>
                </c:pt>
                <c:pt idx="78">
                  <c:v>31</c:v>
                </c:pt>
                <c:pt idx="79">
                  <c:v>17.391304347826086</c:v>
                </c:pt>
                <c:pt idx="80">
                  <c:v>19.565217391304348</c:v>
                </c:pt>
                <c:pt idx="81">
                  <c:v>19</c:v>
                </c:pt>
                <c:pt idx="82">
                  <c:v>20.399999999999999</c:v>
                </c:pt>
                <c:pt idx="83">
                  <c:v>28.572974017939998</c:v>
                </c:pt>
                <c:pt idx="84">
                  <c:v>17</c:v>
                </c:pt>
                <c:pt idx="85">
                  <c:v>11</c:v>
                </c:pt>
                <c:pt idx="86">
                  <c:v>15.217391304347828</c:v>
                </c:pt>
                <c:pt idx="87">
                  <c:v>17.391304347826086</c:v>
                </c:pt>
                <c:pt idx="88">
                  <c:v>13.043478260869565</c:v>
                </c:pt>
                <c:pt idx="89">
                  <c:v>41</c:v>
                </c:pt>
                <c:pt idx="90">
                  <c:v>41</c:v>
                </c:pt>
                <c:pt idx="91">
                  <c:v>25.883333333333336</c:v>
                </c:pt>
                <c:pt idx="92">
                  <c:v>43.660000000000004</c:v>
                </c:pt>
                <c:pt idx="93">
                  <c:v>34</c:v>
                </c:pt>
                <c:pt idx="94">
                  <c:v>25.490196078431371</c:v>
                </c:pt>
                <c:pt idx="95">
                  <c:v>41</c:v>
                </c:pt>
                <c:pt idx="96">
                  <c:v>41</c:v>
                </c:pt>
                <c:pt idx="97">
                  <c:v>41</c:v>
                </c:pt>
                <c:pt idx="98">
                  <c:v>52</c:v>
                </c:pt>
                <c:pt idx="99">
                  <c:v>26.782608695652172</c:v>
                </c:pt>
                <c:pt idx="100">
                  <c:v>41</c:v>
                </c:pt>
                <c:pt idx="101">
                  <c:v>48</c:v>
                </c:pt>
                <c:pt idx="102">
                  <c:v>50</c:v>
                </c:pt>
                <c:pt idx="103">
                  <c:v>39.5</c:v>
                </c:pt>
                <c:pt idx="104">
                  <c:v>68</c:v>
                </c:pt>
                <c:pt idx="105">
                  <c:v>52.941176470588239</c:v>
                </c:pt>
                <c:pt idx="106">
                  <c:v>53.358478966903803</c:v>
                </c:pt>
                <c:pt idx="107">
                  <c:v>21.55</c:v>
                </c:pt>
                <c:pt idx="108">
                  <c:v>27.516666666666666</c:v>
                </c:pt>
                <c:pt idx="109">
                  <c:v>18.7</c:v>
                </c:pt>
                <c:pt idx="110">
                  <c:v>19.565217391304348</c:v>
                </c:pt>
                <c:pt idx="111">
                  <c:v>23.52941176470588</c:v>
                </c:pt>
                <c:pt idx="112">
                  <c:v>41</c:v>
                </c:pt>
                <c:pt idx="113">
                  <c:v>25.733333333333334</c:v>
                </c:pt>
                <c:pt idx="114">
                  <c:v>15.217391304347828</c:v>
                </c:pt>
                <c:pt idx="115">
                  <c:v>9</c:v>
                </c:pt>
                <c:pt idx="116">
                  <c:v>35</c:v>
                </c:pt>
                <c:pt idx="117">
                  <c:v>41</c:v>
                </c:pt>
                <c:pt idx="118">
                  <c:v>41</c:v>
                </c:pt>
                <c:pt idx="119">
                  <c:v>39.130434782608695</c:v>
                </c:pt>
                <c:pt idx="120">
                  <c:v>34.748229198886484</c:v>
                </c:pt>
                <c:pt idx="121">
                  <c:v>41</c:v>
                </c:pt>
                <c:pt idx="122">
                  <c:v>40</c:v>
                </c:pt>
                <c:pt idx="123">
                  <c:v>13.25</c:v>
                </c:pt>
                <c:pt idx="124">
                  <c:v>19.565217391304348</c:v>
                </c:pt>
                <c:pt idx="125">
                  <c:v>25.076214042684814</c:v>
                </c:pt>
                <c:pt idx="126">
                  <c:v>21.739130434782609</c:v>
                </c:pt>
                <c:pt idx="127">
                  <c:v>10.869565217391305</c:v>
                </c:pt>
                <c:pt idx="128">
                  <c:v>6</c:v>
                </c:pt>
                <c:pt idx="129">
                  <c:v>41</c:v>
                </c:pt>
                <c:pt idx="130">
                  <c:v>41</c:v>
                </c:pt>
                <c:pt idx="131">
                  <c:v>15.166666666666666</c:v>
                </c:pt>
                <c:pt idx="132">
                  <c:v>6.4</c:v>
                </c:pt>
                <c:pt idx="133">
                  <c:v>26.897933807609036</c:v>
                </c:pt>
                <c:pt idx="134">
                  <c:v>15.217391304347828</c:v>
                </c:pt>
                <c:pt idx="135">
                  <c:v>41</c:v>
                </c:pt>
                <c:pt idx="136">
                  <c:v>19</c:v>
                </c:pt>
                <c:pt idx="137">
                  <c:v>23.52941176470588</c:v>
                </c:pt>
                <c:pt idx="138">
                  <c:v>39.215686274509807</c:v>
                </c:pt>
                <c:pt idx="139">
                  <c:v>30.434782608695656</c:v>
                </c:pt>
                <c:pt idx="140">
                  <c:v>41</c:v>
                </c:pt>
                <c:pt idx="141">
                  <c:v>5.2</c:v>
                </c:pt>
                <c:pt idx="142">
                  <c:v>49</c:v>
                </c:pt>
                <c:pt idx="143">
                  <c:v>41</c:v>
                </c:pt>
                <c:pt idx="144">
                  <c:v>11.5</c:v>
                </c:pt>
                <c:pt idx="145">
                  <c:v>15.217391304347828</c:v>
                </c:pt>
                <c:pt idx="146">
                  <c:v>19</c:v>
                </c:pt>
                <c:pt idx="147">
                  <c:v>19.607843137254903</c:v>
                </c:pt>
                <c:pt idx="148">
                  <c:v>32</c:v>
                </c:pt>
                <c:pt idx="149">
                  <c:v>41</c:v>
                </c:pt>
                <c:pt idx="150">
                  <c:v>25.490196078431371</c:v>
                </c:pt>
                <c:pt idx="151">
                  <c:v>23.913043478260871</c:v>
                </c:pt>
                <c:pt idx="152">
                  <c:v>28</c:v>
                </c:pt>
                <c:pt idx="153">
                  <c:v>13.043478260869565</c:v>
                </c:pt>
                <c:pt idx="154">
                  <c:v>21.739130434782609</c:v>
                </c:pt>
                <c:pt idx="155">
                  <c:v>26</c:v>
                </c:pt>
                <c:pt idx="156">
                  <c:v>6</c:v>
                </c:pt>
                <c:pt idx="157">
                  <c:v>14.574999999999999</c:v>
                </c:pt>
                <c:pt idx="158">
                  <c:v>44</c:v>
                </c:pt>
                <c:pt idx="159">
                  <c:v>13.166666666666666</c:v>
                </c:pt>
                <c:pt idx="160">
                  <c:v>17.391304347826086</c:v>
                </c:pt>
                <c:pt idx="161">
                  <c:v>14.15</c:v>
                </c:pt>
                <c:pt idx="162">
                  <c:v>19.607843137254903</c:v>
                </c:pt>
                <c:pt idx="163">
                  <c:v>36.95652173913043</c:v>
                </c:pt>
                <c:pt idx="164">
                  <c:v>29.411764705882355</c:v>
                </c:pt>
                <c:pt idx="165">
                  <c:v>39.921419733993197</c:v>
                </c:pt>
                <c:pt idx="166">
                  <c:v>7</c:v>
                </c:pt>
                <c:pt idx="167">
                  <c:v>6</c:v>
                </c:pt>
                <c:pt idx="168">
                  <c:v>44</c:v>
                </c:pt>
                <c:pt idx="169">
                  <c:v>44</c:v>
                </c:pt>
              </c:numCache>
            </c:numRef>
          </c:val>
          <c:extLst>
            <c:ext xmlns:c16="http://schemas.microsoft.com/office/drawing/2014/chart" uri="{C3380CC4-5D6E-409C-BE32-E72D297353CC}">
              <c16:uniqueId val="{00000002-EA58-4C83-943B-F190F3179F38}"/>
            </c:ext>
          </c:extLst>
        </c:ser>
        <c:dLbls>
          <c:showLegendKey val="0"/>
          <c:showVal val="0"/>
          <c:showCatName val="0"/>
          <c:showSerName val="0"/>
          <c:showPercent val="0"/>
          <c:showBubbleSize val="0"/>
        </c:dLbls>
        <c:gapWidth val="219"/>
        <c:axId val="627998496"/>
        <c:axId val="356888152"/>
      </c:barChart>
      <c:catAx>
        <c:axId val="627998496"/>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888152"/>
        <c:crosses val="autoZero"/>
        <c:auto val="1"/>
        <c:lblAlgn val="ctr"/>
        <c:lblOffset val="100"/>
        <c:noMultiLvlLbl val="0"/>
      </c:catAx>
      <c:valAx>
        <c:axId val="356888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279984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273050</xdr:colOff>
      <xdr:row>8</xdr:row>
      <xdr:rowOff>63500</xdr:rowOff>
    </xdr:from>
    <xdr:to>
      <xdr:col>13</xdr:col>
      <xdr:colOff>615950</xdr:colOff>
      <xdr:row>25</xdr:row>
      <xdr:rowOff>88900</xdr:rowOff>
    </xdr:to>
    <xdr:graphicFrame macro="">
      <xdr:nvGraphicFramePr>
        <xdr:cNvPr id="2" name="Chart 1">
          <a:extLst>
            <a:ext uri="{FF2B5EF4-FFF2-40B4-BE49-F238E27FC236}">
              <a16:creationId xmlns:a16="http://schemas.microsoft.com/office/drawing/2014/main" id="{185F2F42-2DB0-4F1C-A8D8-932F3C9B07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457200</xdr:colOff>
      <xdr:row>158</xdr:row>
      <xdr:rowOff>146050</xdr:rowOff>
    </xdr:from>
    <xdr:to>
      <xdr:col>13</xdr:col>
      <xdr:colOff>101600</xdr:colOff>
      <xdr:row>176</xdr:row>
      <xdr:rowOff>158750</xdr:rowOff>
    </xdr:to>
    <xdr:graphicFrame macro="">
      <xdr:nvGraphicFramePr>
        <xdr:cNvPr id="2" name="Chart 1">
          <a:extLst>
            <a:ext uri="{FF2B5EF4-FFF2-40B4-BE49-F238E27FC236}">
              <a16:creationId xmlns:a16="http://schemas.microsoft.com/office/drawing/2014/main" id="{8C6F6FB3-C85A-4EC8-BFE4-2FFB99DF76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pubmed-ncbi-nlm-nih-gov.proxy.insermbiblio.inist.fr/?term=Sheen+YS&amp;cauthor_id=31408190" TargetMode="External"/><Relationship Id="rId7" Type="http://schemas.openxmlformats.org/officeDocument/2006/relationships/comments" Target="../comments1.xml"/><Relationship Id="rId2" Type="http://schemas.openxmlformats.org/officeDocument/2006/relationships/hyperlink" Target="https://pubmed-ncbi-nlm-nih-gov.proxy.insermbiblio.inist.fr/?term=Lee+SH&amp;cauthor_id=29361821" TargetMode="External"/><Relationship Id="rId1" Type="http://schemas.openxmlformats.org/officeDocument/2006/relationships/hyperlink" Target="https://pubmed-ncbi-nlm-nih-gov.proxy.insermbiblio.inist.fr/?term=Kaji+T&amp;cauthor_id=27771229" TargetMode="External"/><Relationship Id="rId6" Type="http://schemas.openxmlformats.org/officeDocument/2006/relationships/vmlDrawing" Target="../drawings/vmlDrawing1.vml"/><Relationship Id="rId5" Type="http://schemas.openxmlformats.org/officeDocument/2006/relationships/printerSettings" Target="../printerSettings/printerSettings1.bin"/><Relationship Id="rId4" Type="http://schemas.openxmlformats.org/officeDocument/2006/relationships/hyperlink" Target="https://pubmed-ncbi-nlm-nih-gov.proxy.insermbiblio.inist.fr/?term=Kong+Y&amp;cauthor_id=21325067"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pubmed-ncbi-nlm-nih-gov.proxy.insermbiblio.inist.fr/?term=Kaji+T&amp;cauthor_id=27771229" TargetMode="External"/><Relationship Id="rId2" Type="http://schemas.openxmlformats.org/officeDocument/2006/relationships/hyperlink" Target="https://pubmed-ncbi-nlm-nih-gov.proxy.insermbiblio.inist.fr/?term=Kong+Y&amp;cauthor_id=21325067" TargetMode="External"/><Relationship Id="rId1" Type="http://schemas.openxmlformats.org/officeDocument/2006/relationships/hyperlink" Target="https://pubmed-ncbi-nlm-nih-gov.proxy.insermbiblio.inist.fr/?term=Sheen+YS&amp;cauthor_id=25767048" TargetMode="External"/><Relationship Id="rId6" Type="http://schemas.openxmlformats.org/officeDocument/2006/relationships/printerSettings" Target="../printerSettings/printerSettings2.bin"/><Relationship Id="rId5" Type="http://schemas.openxmlformats.org/officeDocument/2006/relationships/hyperlink" Target="https://pubmed-ncbi-nlm-nih-gov.proxy.insermbiblio.inist.fr/?term=Sheen+YS&amp;cauthor_id=31408190" TargetMode="External"/><Relationship Id="rId4" Type="http://schemas.openxmlformats.org/officeDocument/2006/relationships/hyperlink" Target="https://pubmed-ncbi-nlm-nih-gov.proxy.insermbiblio.inist.fr/?term=Lee+SH&amp;cauthor_id=29361821"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pubmed-ncbi-nlm-nih-gov.proxy.insermbiblio.inist.fr/?term=Kaji+T&amp;cauthor_id=27771229" TargetMode="External"/><Relationship Id="rId2" Type="http://schemas.openxmlformats.org/officeDocument/2006/relationships/hyperlink" Target="https://pubmed-ncbi-nlm-nih-gov.proxy.insermbiblio.inist.fr/?term=Kong+Y&amp;cauthor_id=21325067" TargetMode="External"/><Relationship Id="rId1" Type="http://schemas.openxmlformats.org/officeDocument/2006/relationships/hyperlink" Target="https://pubmed-ncbi-nlm-nih-gov.proxy.insermbiblio.inist.fr/?term=Sheen+YS&amp;cauthor_id=25767048" TargetMode="External"/><Relationship Id="rId6" Type="http://schemas.openxmlformats.org/officeDocument/2006/relationships/hyperlink" Target="https://www.nature.com/articles/s41467-024-50233-z" TargetMode="External"/><Relationship Id="rId5" Type="http://schemas.openxmlformats.org/officeDocument/2006/relationships/hyperlink" Target="https://pubmed-ncbi-nlm-nih-gov.proxy.insermbiblio.inist.fr/?term=Sheen+YS&amp;cauthor_id=31408190" TargetMode="External"/><Relationship Id="rId4" Type="http://schemas.openxmlformats.org/officeDocument/2006/relationships/hyperlink" Target="https://pubmed-ncbi-nlm-nih-gov.proxy.insermbiblio.inist.fr/?term=Lee+SH&amp;cauthor_id=29361821"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C8BC9-BE69-4526-8D4F-E32D7C2AF3B3}">
  <dimension ref="A1:Z49"/>
  <sheetViews>
    <sheetView zoomScale="101" zoomScaleNormal="96" workbookViewId="0">
      <pane xSplit="2" ySplit="2" topLeftCell="C9" activePane="bottomRight" state="frozen"/>
      <selection pane="topRight" activeCell="C1" sqref="C1"/>
      <selection pane="bottomLeft" activeCell="A3" sqref="A3"/>
      <selection pane="bottomRight" sqref="A1:A2"/>
    </sheetView>
  </sheetViews>
  <sheetFormatPr defaultColWidth="9.109375" defaultRowHeight="37.200000000000003" customHeight="1"/>
  <cols>
    <col min="1" max="1" width="3.88671875" style="127" bestFit="1" customWidth="1"/>
    <col min="2" max="2" width="28.109375" style="124" customWidth="1"/>
    <col min="3" max="3" width="7.88671875" style="127" bestFit="1" customWidth="1"/>
    <col min="4" max="5" width="11.6640625" style="127" customWidth="1"/>
    <col min="6" max="6" width="13.33203125" style="127" bestFit="1" customWidth="1"/>
    <col min="7" max="7" width="7.88671875" style="127" bestFit="1" customWidth="1"/>
    <col min="8" max="8" width="13.33203125" style="127" bestFit="1" customWidth="1"/>
    <col min="9" max="9" width="7.88671875" style="127" bestFit="1" customWidth="1"/>
    <col min="10" max="10" width="14" style="127" bestFit="1" customWidth="1"/>
    <col min="11" max="11" width="7.88671875" style="127" bestFit="1" customWidth="1"/>
    <col min="12" max="12" width="11.6640625" style="127" customWidth="1"/>
    <col min="13" max="13" width="9.88671875" style="127" customWidth="1"/>
    <col min="14" max="14" width="10.88671875" style="127" bestFit="1" customWidth="1"/>
    <col min="15" max="15" width="18.109375" style="127" bestFit="1" customWidth="1"/>
    <col min="16" max="16" width="21.109375" style="127" customWidth="1"/>
    <col min="17" max="17" width="10.109375" style="127" bestFit="1" customWidth="1"/>
    <col min="18" max="18" width="10.109375" style="127" customWidth="1"/>
    <col min="19" max="19" width="17.44140625" style="127" bestFit="1" customWidth="1"/>
    <col min="20" max="20" width="18.88671875" style="127" bestFit="1" customWidth="1"/>
    <col min="21" max="21" width="10.109375" style="127" customWidth="1"/>
    <col min="22" max="22" width="31.109375" style="156" customWidth="1"/>
    <col min="23" max="23" width="13.77734375" style="127" customWidth="1"/>
    <col min="24" max="24" width="14.77734375" style="127" customWidth="1"/>
    <col min="25" max="25" width="38.77734375" style="127" bestFit="1" customWidth="1"/>
    <col min="26" max="26" width="48.6640625" style="127" bestFit="1" customWidth="1"/>
    <col min="27" max="16384" width="9.109375" style="127"/>
  </cols>
  <sheetData>
    <row r="1" spans="1:26" ht="37.200000000000003" customHeight="1">
      <c r="A1" s="168" t="s">
        <v>15</v>
      </c>
      <c r="B1" s="167" t="s">
        <v>0</v>
      </c>
      <c r="C1" s="125" t="s">
        <v>1</v>
      </c>
      <c r="D1" s="167" t="s">
        <v>628</v>
      </c>
      <c r="E1" s="167"/>
      <c r="F1" s="167" t="s">
        <v>458</v>
      </c>
      <c r="G1" s="167"/>
      <c r="H1" s="167" t="s">
        <v>440</v>
      </c>
      <c r="I1" s="167"/>
      <c r="J1" s="167" t="s">
        <v>3</v>
      </c>
      <c r="K1" s="167"/>
      <c r="L1" s="126"/>
      <c r="M1" s="126"/>
      <c r="N1" s="126"/>
      <c r="O1" s="167" t="s">
        <v>594</v>
      </c>
      <c r="P1" s="166" t="s">
        <v>527</v>
      </c>
      <c r="Q1" s="166" t="s">
        <v>528</v>
      </c>
      <c r="R1" s="166" t="s">
        <v>529</v>
      </c>
      <c r="S1" s="126"/>
      <c r="T1" s="126"/>
      <c r="U1" s="126"/>
      <c r="V1" s="165" t="s">
        <v>4</v>
      </c>
      <c r="W1" s="163"/>
      <c r="X1" s="163"/>
      <c r="Y1" s="163"/>
      <c r="Z1" s="163" t="s">
        <v>741</v>
      </c>
    </row>
    <row r="2" spans="1:26" ht="37.200000000000003" customHeight="1">
      <c r="A2" s="168"/>
      <c r="B2" s="167"/>
      <c r="C2" s="125" t="s">
        <v>2</v>
      </c>
      <c r="D2" s="118" t="s">
        <v>388</v>
      </c>
      <c r="E2" s="118" t="s">
        <v>638</v>
      </c>
      <c r="F2" s="118" t="s">
        <v>388</v>
      </c>
      <c r="G2" s="125" t="s">
        <v>2</v>
      </c>
      <c r="H2" s="118" t="s">
        <v>388</v>
      </c>
      <c r="I2" s="125" t="s">
        <v>2</v>
      </c>
      <c r="J2" s="118" t="s">
        <v>47</v>
      </c>
      <c r="K2" s="125" t="s">
        <v>2</v>
      </c>
      <c r="L2" s="128" t="s">
        <v>518</v>
      </c>
      <c r="M2" s="128" t="s">
        <v>520</v>
      </c>
      <c r="N2" s="128" t="s">
        <v>519</v>
      </c>
      <c r="O2" s="167"/>
      <c r="P2" s="166"/>
      <c r="Q2" s="166"/>
      <c r="R2" s="166"/>
      <c r="S2" s="128" t="s">
        <v>521</v>
      </c>
      <c r="T2" s="128" t="s">
        <v>522</v>
      </c>
      <c r="U2" s="128" t="s">
        <v>526</v>
      </c>
      <c r="V2" s="165"/>
    </row>
    <row r="3" spans="1:26" ht="37.200000000000003" customHeight="1">
      <c r="A3" s="129">
        <v>6</v>
      </c>
      <c r="B3" s="121" t="s">
        <v>659</v>
      </c>
      <c r="C3" s="129">
        <v>66</v>
      </c>
      <c r="D3" s="129" t="s">
        <v>385</v>
      </c>
      <c r="E3" s="129">
        <v>45</v>
      </c>
      <c r="F3" s="129" t="s">
        <v>385</v>
      </c>
      <c r="G3" s="129">
        <v>66</v>
      </c>
      <c r="H3" s="129" t="s">
        <v>384</v>
      </c>
      <c r="I3" s="130"/>
      <c r="J3" s="129" t="s">
        <v>384</v>
      </c>
      <c r="K3" s="130">
        <v>66</v>
      </c>
      <c r="L3" s="131"/>
      <c r="M3" s="131">
        <v>37</v>
      </c>
      <c r="N3" s="131">
        <v>29</v>
      </c>
      <c r="O3" s="131" t="s">
        <v>661</v>
      </c>
      <c r="P3" s="131"/>
      <c r="Q3" s="131"/>
      <c r="R3" s="131"/>
      <c r="S3" s="131"/>
      <c r="T3" s="131"/>
      <c r="U3" s="131"/>
      <c r="V3" s="157" t="s">
        <v>743</v>
      </c>
      <c r="W3" s="164"/>
      <c r="Z3" s="127" t="s">
        <v>742</v>
      </c>
    </row>
    <row r="4" spans="1:26" ht="37.200000000000003" customHeight="1">
      <c r="A4" s="129">
        <v>8</v>
      </c>
      <c r="B4" s="119" t="s">
        <v>658</v>
      </c>
      <c r="C4" s="129">
        <v>27</v>
      </c>
      <c r="D4" s="129" t="s">
        <v>385</v>
      </c>
      <c r="E4" s="129">
        <v>20</v>
      </c>
      <c r="F4" s="129" t="s">
        <v>385</v>
      </c>
      <c r="G4" s="129">
        <v>22</v>
      </c>
      <c r="H4" s="129" t="s">
        <v>385</v>
      </c>
      <c r="I4" s="130">
        <v>17</v>
      </c>
      <c r="J4" s="129" t="s">
        <v>385</v>
      </c>
      <c r="K4" s="130">
        <v>39</v>
      </c>
      <c r="L4" s="132" t="s">
        <v>130</v>
      </c>
      <c r="M4" s="131">
        <v>16</v>
      </c>
      <c r="N4" s="131">
        <v>11</v>
      </c>
      <c r="O4" s="131" t="s">
        <v>627</v>
      </c>
      <c r="P4" s="131"/>
      <c r="Q4" s="131"/>
      <c r="R4" s="131"/>
      <c r="S4" s="131"/>
      <c r="T4" s="131"/>
      <c r="U4" s="131"/>
      <c r="V4" s="155" t="s">
        <v>743</v>
      </c>
      <c r="Z4" s="127" t="s">
        <v>384</v>
      </c>
    </row>
    <row r="5" spans="1:26" ht="37.200000000000003" customHeight="1">
      <c r="A5" s="129">
        <v>9</v>
      </c>
      <c r="B5" s="117" t="s">
        <v>654</v>
      </c>
      <c r="C5" s="129">
        <v>47</v>
      </c>
      <c r="D5" s="129" t="s">
        <v>385</v>
      </c>
      <c r="E5" s="129">
        <v>24</v>
      </c>
      <c r="F5" s="129" t="s">
        <v>385</v>
      </c>
      <c r="G5" s="129">
        <v>47</v>
      </c>
      <c r="H5" s="129" t="s">
        <v>384</v>
      </c>
      <c r="I5" s="130"/>
      <c r="J5" s="129" t="s">
        <v>384</v>
      </c>
      <c r="K5" s="130">
        <v>47</v>
      </c>
      <c r="L5" s="132" t="s">
        <v>727</v>
      </c>
      <c r="M5" s="131">
        <v>19</v>
      </c>
      <c r="N5" s="131">
        <v>28</v>
      </c>
      <c r="O5" s="131" t="s">
        <v>656</v>
      </c>
      <c r="P5" s="131"/>
      <c r="Q5" s="131"/>
      <c r="R5" s="131"/>
      <c r="S5" s="131"/>
      <c r="T5" s="131"/>
      <c r="U5" s="131"/>
      <c r="V5" s="156" t="s">
        <v>617</v>
      </c>
    </row>
    <row r="6" spans="1:26" ht="37.200000000000003" customHeight="1">
      <c r="A6" s="129">
        <v>17</v>
      </c>
      <c r="B6" s="119" t="s">
        <v>652</v>
      </c>
      <c r="C6" s="129">
        <v>55</v>
      </c>
      <c r="D6" s="129" t="s">
        <v>385</v>
      </c>
      <c r="E6" s="129">
        <v>39</v>
      </c>
      <c r="F6" s="129" t="s">
        <v>385</v>
      </c>
      <c r="G6" s="129">
        <v>55</v>
      </c>
      <c r="H6" s="129" t="s">
        <v>384</v>
      </c>
      <c r="I6" s="130"/>
      <c r="J6" s="129" t="s">
        <v>384</v>
      </c>
      <c r="K6" s="129">
        <v>55</v>
      </c>
      <c r="L6" s="131"/>
      <c r="M6" s="131"/>
      <c r="N6" s="131"/>
      <c r="O6" s="131" t="s">
        <v>653</v>
      </c>
      <c r="P6" s="131"/>
      <c r="Q6" s="131"/>
      <c r="R6" s="131"/>
      <c r="S6" s="131"/>
      <c r="T6" s="131"/>
      <c r="U6" s="131"/>
      <c r="V6" s="155" t="s">
        <v>617</v>
      </c>
    </row>
    <row r="7" spans="1:26" ht="37.200000000000003" customHeight="1">
      <c r="A7" s="129">
        <v>19</v>
      </c>
      <c r="B7" s="121" t="s">
        <v>650</v>
      </c>
      <c r="C7" s="129">
        <v>143</v>
      </c>
      <c r="D7" s="129" t="s">
        <v>385</v>
      </c>
      <c r="E7" s="129">
        <v>89</v>
      </c>
      <c r="F7" s="129" t="s">
        <v>385</v>
      </c>
      <c r="G7" s="129">
        <v>139</v>
      </c>
      <c r="H7" s="129" t="s">
        <v>385</v>
      </c>
      <c r="I7" s="130">
        <v>4</v>
      </c>
      <c r="J7" s="129" t="s">
        <v>384</v>
      </c>
      <c r="K7" s="129">
        <v>143</v>
      </c>
      <c r="L7" s="131"/>
      <c r="M7" s="131">
        <v>69</v>
      </c>
      <c r="N7" s="131">
        <v>74</v>
      </c>
      <c r="O7" s="131" t="s">
        <v>656</v>
      </c>
      <c r="P7" s="131"/>
      <c r="Q7" s="131"/>
      <c r="R7" s="131"/>
      <c r="S7" s="131"/>
      <c r="T7" s="131"/>
      <c r="U7" s="131"/>
      <c r="V7" s="155" t="s">
        <v>740</v>
      </c>
      <c r="Z7" s="127" t="s">
        <v>384</v>
      </c>
    </row>
    <row r="8" spans="1:26" ht="37.200000000000003" customHeight="1">
      <c r="A8" s="129">
        <v>23</v>
      </c>
      <c r="B8" s="119" t="s">
        <v>714</v>
      </c>
      <c r="C8" s="129">
        <v>50</v>
      </c>
      <c r="D8" s="129" t="s">
        <v>385</v>
      </c>
      <c r="E8" s="129">
        <v>19</v>
      </c>
      <c r="F8" s="129">
        <v>50</v>
      </c>
      <c r="G8" s="129">
        <v>50</v>
      </c>
      <c r="H8" s="129" t="s">
        <v>384</v>
      </c>
      <c r="I8" s="130"/>
      <c r="J8" s="129" t="s">
        <v>384</v>
      </c>
      <c r="K8" s="129">
        <v>50</v>
      </c>
      <c r="L8" s="131"/>
      <c r="M8" s="131"/>
      <c r="N8" s="131"/>
      <c r="O8" s="131" t="s">
        <v>627</v>
      </c>
      <c r="P8" s="131"/>
      <c r="Q8" s="131"/>
      <c r="R8" s="131"/>
      <c r="S8" s="131"/>
      <c r="T8" s="131"/>
      <c r="U8" s="131"/>
      <c r="V8" s="155" t="s">
        <v>617</v>
      </c>
    </row>
    <row r="9" spans="1:26" ht="37.200000000000003" customHeight="1">
      <c r="A9" s="129">
        <v>30</v>
      </c>
      <c r="B9" s="121" t="s">
        <v>645</v>
      </c>
      <c r="C9" s="129">
        <v>58</v>
      </c>
      <c r="D9" s="129" t="s">
        <v>385</v>
      </c>
      <c r="E9" s="129">
        <v>21</v>
      </c>
      <c r="F9" s="129" t="s">
        <v>385</v>
      </c>
      <c r="G9" s="129">
        <v>40</v>
      </c>
      <c r="H9" s="129" t="s">
        <v>385</v>
      </c>
      <c r="I9" s="130">
        <v>35</v>
      </c>
      <c r="J9" s="129" t="s">
        <v>385</v>
      </c>
      <c r="K9" s="129">
        <v>75</v>
      </c>
      <c r="L9" s="160" t="s">
        <v>729</v>
      </c>
      <c r="M9" s="131">
        <v>25</v>
      </c>
      <c r="N9" s="131">
        <v>33</v>
      </c>
      <c r="O9" s="131" t="s">
        <v>665</v>
      </c>
      <c r="P9" s="131"/>
      <c r="Q9" s="131"/>
      <c r="R9" s="131"/>
      <c r="S9" s="131"/>
      <c r="T9" s="131"/>
      <c r="U9" s="131"/>
      <c r="V9" s="158" t="s">
        <v>739</v>
      </c>
      <c r="Z9" s="127" t="s">
        <v>384</v>
      </c>
    </row>
    <row r="10" spans="1:26" ht="60.45" customHeight="1">
      <c r="A10" s="129">
        <v>36</v>
      </c>
      <c r="B10" s="120" t="s">
        <v>618</v>
      </c>
      <c r="C10" s="129">
        <v>119</v>
      </c>
      <c r="D10" s="129" t="s">
        <v>385</v>
      </c>
      <c r="E10" s="129">
        <v>89</v>
      </c>
      <c r="F10" s="129" t="s">
        <v>385</v>
      </c>
      <c r="G10" s="130">
        <v>119</v>
      </c>
      <c r="H10" s="129" t="s">
        <v>384</v>
      </c>
      <c r="I10" s="129"/>
      <c r="J10" s="129" t="s">
        <v>384</v>
      </c>
      <c r="K10" s="129">
        <v>119</v>
      </c>
      <c r="L10" s="131" t="s">
        <v>730</v>
      </c>
      <c r="M10" s="131">
        <v>66</v>
      </c>
      <c r="N10" s="131">
        <v>53</v>
      </c>
      <c r="O10" s="131" t="s">
        <v>667</v>
      </c>
      <c r="P10" s="131"/>
      <c r="Q10" s="131"/>
      <c r="R10" s="131"/>
      <c r="S10" s="131"/>
      <c r="T10" s="131"/>
      <c r="U10" s="133"/>
      <c r="V10" s="155" t="s">
        <v>617</v>
      </c>
    </row>
    <row r="11" spans="1:26" ht="37.200000000000003" customHeight="1">
      <c r="A11" s="129">
        <v>43</v>
      </c>
      <c r="B11" s="119" t="s">
        <v>669</v>
      </c>
      <c r="C11" s="129">
        <v>70</v>
      </c>
      <c r="D11" s="129" t="s">
        <v>385</v>
      </c>
      <c r="E11" s="129">
        <v>32</v>
      </c>
      <c r="F11" s="129" t="s">
        <v>385</v>
      </c>
      <c r="G11" s="129">
        <v>79</v>
      </c>
      <c r="H11" s="129" t="s">
        <v>384</v>
      </c>
      <c r="I11" s="129"/>
      <c r="J11" s="129" t="s">
        <v>384</v>
      </c>
      <c r="K11" s="129">
        <v>70</v>
      </c>
      <c r="L11" s="131"/>
      <c r="M11" s="131">
        <v>42</v>
      </c>
      <c r="N11" s="131">
        <v>37</v>
      </c>
      <c r="O11" s="131" t="s">
        <v>665</v>
      </c>
      <c r="P11" s="131"/>
      <c r="Q11" s="131"/>
      <c r="R11" s="131"/>
      <c r="S11" s="131"/>
      <c r="T11" s="131"/>
      <c r="U11" s="131"/>
      <c r="V11" s="159" t="s">
        <v>617</v>
      </c>
    </row>
    <row r="12" spans="1:26" ht="37.200000000000003" customHeight="1">
      <c r="A12" s="129">
        <v>50</v>
      </c>
      <c r="B12" s="117" t="s">
        <v>670</v>
      </c>
      <c r="C12" s="129">
        <v>105</v>
      </c>
      <c r="D12" s="129" t="s">
        <v>385</v>
      </c>
      <c r="E12" s="129">
        <v>54</v>
      </c>
      <c r="F12" s="129" t="s">
        <v>385</v>
      </c>
      <c r="G12" s="129">
        <v>84</v>
      </c>
      <c r="H12" s="129" t="s">
        <v>385</v>
      </c>
      <c r="I12" s="129">
        <v>48</v>
      </c>
      <c r="J12" s="129" t="s">
        <v>385</v>
      </c>
      <c r="K12" s="129">
        <v>132</v>
      </c>
      <c r="L12" s="131"/>
      <c r="M12" s="131"/>
      <c r="N12" s="131"/>
      <c r="O12" s="131" t="s">
        <v>665</v>
      </c>
      <c r="P12" s="131"/>
      <c r="Q12" s="131"/>
      <c r="R12" s="131"/>
      <c r="S12" s="131"/>
      <c r="T12" s="131"/>
      <c r="U12" s="133"/>
      <c r="V12" s="155" t="s">
        <v>617</v>
      </c>
    </row>
    <row r="13" spans="1:26" ht="37.200000000000003" customHeight="1">
      <c r="A13" s="129">
        <v>60</v>
      </c>
      <c r="B13" s="117" t="s">
        <v>671</v>
      </c>
      <c r="C13" s="129">
        <v>312</v>
      </c>
      <c r="D13" s="129" t="s">
        <v>385</v>
      </c>
      <c r="E13" s="129">
        <v>148</v>
      </c>
      <c r="F13" s="129" t="s">
        <v>385</v>
      </c>
      <c r="G13" s="129">
        <v>268</v>
      </c>
      <c r="H13" s="129" t="s">
        <v>385</v>
      </c>
      <c r="I13" s="129">
        <v>44</v>
      </c>
      <c r="J13" s="129" t="s">
        <v>384</v>
      </c>
      <c r="K13" s="129">
        <v>312</v>
      </c>
      <c r="L13" s="131"/>
      <c r="M13" s="131"/>
      <c r="N13" s="131"/>
      <c r="O13" s="131" t="s">
        <v>627</v>
      </c>
      <c r="P13" s="131"/>
      <c r="Q13" s="131"/>
      <c r="R13" s="131"/>
      <c r="S13" s="131"/>
      <c r="T13" s="131"/>
      <c r="U13" s="131"/>
      <c r="V13" s="155" t="s">
        <v>617</v>
      </c>
    </row>
    <row r="14" spans="1:26" ht="37.200000000000003" customHeight="1">
      <c r="A14" s="129">
        <v>62</v>
      </c>
      <c r="B14" s="121" t="s">
        <v>672</v>
      </c>
      <c r="C14" s="129">
        <v>335</v>
      </c>
      <c r="D14" s="129" t="s">
        <v>385</v>
      </c>
      <c r="E14" s="129">
        <v>193</v>
      </c>
      <c r="F14" s="129" t="s">
        <v>385</v>
      </c>
      <c r="G14" s="129">
        <v>284</v>
      </c>
      <c r="H14" s="129" t="s">
        <v>385</v>
      </c>
      <c r="I14" s="129">
        <v>51</v>
      </c>
      <c r="J14" s="129" t="s">
        <v>384</v>
      </c>
      <c r="K14" s="129">
        <v>335</v>
      </c>
      <c r="L14" s="131"/>
      <c r="M14" s="131">
        <v>169</v>
      </c>
      <c r="N14" s="131">
        <v>166</v>
      </c>
      <c r="O14" s="131" t="s">
        <v>627</v>
      </c>
      <c r="P14" s="131"/>
      <c r="Q14" s="131"/>
      <c r="R14" s="131"/>
      <c r="S14" s="131"/>
      <c r="T14" s="131"/>
      <c r="U14" s="131"/>
      <c r="V14" s="155" t="s">
        <v>617</v>
      </c>
    </row>
    <row r="15" spans="1:26" ht="37.200000000000003" customHeight="1">
      <c r="A15" s="135">
        <v>93</v>
      </c>
      <c r="B15" s="117" t="s">
        <v>684</v>
      </c>
      <c r="C15" s="129">
        <v>51</v>
      </c>
      <c r="D15" s="129" t="s">
        <v>384</v>
      </c>
      <c r="E15" s="129"/>
      <c r="F15" s="129" t="s">
        <v>385</v>
      </c>
      <c r="G15" s="129">
        <v>51</v>
      </c>
      <c r="H15" s="129" t="s">
        <v>384</v>
      </c>
      <c r="I15" s="130"/>
      <c r="J15" s="129" t="s">
        <v>384</v>
      </c>
      <c r="K15" s="129">
        <v>51</v>
      </c>
      <c r="L15" s="131"/>
      <c r="M15" s="131">
        <v>17</v>
      </c>
      <c r="N15" s="131">
        <v>34</v>
      </c>
      <c r="O15" s="131" t="s">
        <v>686</v>
      </c>
      <c r="P15" s="131"/>
      <c r="Q15" s="131"/>
      <c r="R15" s="131"/>
      <c r="S15" s="131"/>
      <c r="T15" s="131"/>
      <c r="U15" s="131"/>
      <c r="V15" s="155" t="s">
        <v>685</v>
      </c>
    </row>
    <row r="16" spans="1:26" ht="37.200000000000003" customHeight="1">
      <c r="A16" s="135">
        <v>97</v>
      </c>
      <c r="B16" s="117" t="s">
        <v>689</v>
      </c>
      <c r="C16" s="129">
        <v>92</v>
      </c>
      <c r="D16" s="129" t="s">
        <v>384</v>
      </c>
      <c r="E16" s="129"/>
      <c r="F16" s="129" t="s">
        <v>385</v>
      </c>
      <c r="G16" s="129">
        <v>92</v>
      </c>
      <c r="H16" s="129" t="s">
        <v>384</v>
      </c>
      <c r="I16" s="130"/>
      <c r="J16" s="129" t="s">
        <v>384</v>
      </c>
      <c r="K16" s="129">
        <v>92</v>
      </c>
      <c r="L16" s="131"/>
      <c r="M16" s="131">
        <v>40</v>
      </c>
      <c r="N16" s="131">
        <v>52</v>
      </c>
      <c r="O16" s="131" t="s">
        <v>627</v>
      </c>
      <c r="P16" s="131" t="s">
        <v>690</v>
      </c>
      <c r="Q16" s="131"/>
      <c r="R16" s="131"/>
      <c r="S16" s="131"/>
      <c r="T16" s="131"/>
      <c r="U16" s="131"/>
      <c r="V16" s="155" t="s">
        <v>617</v>
      </c>
    </row>
    <row r="17" spans="1:22" ht="37.200000000000003" customHeight="1">
      <c r="A17" s="129"/>
      <c r="B17" s="119"/>
      <c r="C17" s="129"/>
      <c r="D17" s="129"/>
      <c r="E17" s="129"/>
      <c r="F17" s="129"/>
      <c r="G17" s="129"/>
      <c r="H17" s="129"/>
      <c r="I17" s="130"/>
      <c r="J17" s="129"/>
      <c r="K17" s="129"/>
      <c r="L17" s="136"/>
      <c r="M17" s="131"/>
      <c r="N17" s="131"/>
      <c r="O17" s="131"/>
      <c r="P17" s="131"/>
      <c r="Q17" s="131"/>
      <c r="R17" s="131"/>
      <c r="S17" s="131"/>
      <c r="T17" s="131"/>
      <c r="U17" s="131"/>
      <c r="V17" s="155"/>
    </row>
    <row r="18" spans="1:22" ht="37.200000000000003" customHeight="1">
      <c r="A18" s="129"/>
      <c r="B18" s="119"/>
      <c r="C18" s="129"/>
      <c r="D18" s="129"/>
      <c r="E18" s="129"/>
      <c r="F18" s="129"/>
      <c r="G18" s="129"/>
      <c r="H18" s="129"/>
      <c r="I18" s="130"/>
      <c r="J18" s="129"/>
      <c r="K18" s="129"/>
      <c r="L18" s="131"/>
      <c r="M18" s="136"/>
      <c r="N18" s="131"/>
      <c r="O18" s="131"/>
      <c r="P18" s="131"/>
      <c r="Q18" s="131"/>
      <c r="R18" s="131"/>
      <c r="S18" s="131"/>
      <c r="T18" s="131"/>
      <c r="U18" s="131"/>
      <c r="V18" s="155"/>
    </row>
    <row r="19" spans="1:22" ht="37.200000000000003" customHeight="1">
      <c r="A19" s="129"/>
      <c r="B19" s="119"/>
      <c r="C19" s="129"/>
      <c r="D19" s="129"/>
      <c r="E19" s="129"/>
      <c r="F19" s="129"/>
      <c r="G19" s="129"/>
      <c r="H19" s="129"/>
      <c r="I19" s="130"/>
      <c r="J19" s="129"/>
      <c r="K19" s="129"/>
      <c r="L19" s="131"/>
      <c r="M19" s="131"/>
      <c r="N19" s="131"/>
      <c r="O19" s="131"/>
      <c r="P19" s="131"/>
      <c r="Q19" s="131"/>
      <c r="R19" s="131"/>
      <c r="S19" s="131"/>
      <c r="T19" s="131"/>
      <c r="U19" s="131"/>
      <c r="V19" s="155"/>
    </row>
    <row r="20" spans="1:22" ht="37.200000000000003" customHeight="1">
      <c r="A20" s="129"/>
      <c r="B20" s="119"/>
      <c r="C20" s="129"/>
      <c r="D20" s="129"/>
      <c r="E20" s="129"/>
      <c r="F20" s="129"/>
      <c r="G20" s="129"/>
      <c r="H20" s="129"/>
      <c r="I20" s="130"/>
      <c r="J20" s="129"/>
      <c r="K20" s="129"/>
      <c r="L20" s="131"/>
      <c r="M20" s="131"/>
      <c r="N20" s="131"/>
      <c r="O20" s="131"/>
      <c r="P20" s="131"/>
      <c r="Q20" s="131"/>
      <c r="R20" s="131"/>
      <c r="S20" s="131"/>
      <c r="T20" s="131"/>
      <c r="U20" s="131"/>
      <c r="V20" s="155"/>
    </row>
    <row r="21" spans="1:22" ht="37.200000000000003" customHeight="1">
      <c r="A21" s="129"/>
      <c r="B21" s="119"/>
      <c r="C21" s="129"/>
      <c r="D21" s="129"/>
      <c r="E21" s="129"/>
      <c r="F21" s="129"/>
      <c r="G21" s="129"/>
      <c r="H21" s="129"/>
      <c r="I21" s="130"/>
      <c r="J21" s="129"/>
      <c r="K21" s="129"/>
      <c r="L21" s="131"/>
      <c r="M21" s="131"/>
      <c r="N21" s="131"/>
      <c r="O21" s="131"/>
      <c r="P21" s="131"/>
      <c r="Q21" s="131"/>
      <c r="R21" s="131"/>
      <c r="S21" s="131"/>
      <c r="T21" s="131"/>
      <c r="U21" s="131"/>
      <c r="V21" s="155"/>
    </row>
    <row r="22" spans="1:22" ht="37.200000000000003" customHeight="1">
      <c r="A22" s="129"/>
      <c r="B22" s="119"/>
      <c r="C22" s="129"/>
      <c r="D22" s="129"/>
      <c r="E22" s="129"/>
      <c r="F22" s="129"/>
      <c r="G22" s="129"/>
      <c r="H22" s="129"/>
      <c r="I22" s="130"/>
      <c r="J22" s="129"/>
      <c r="K22" s="129"/>
      <c r="L22" s="131"/>
      <c r="M22" s="131"/>
      <c r="N22" s="131"/>
      <c r="O22" s="131"/>
      <c r="P22" s="131"/>
      <c r="Q22" s="131"/>
      <c r="R22" s="131"/>
      <c r="S22" s="137"/>
      <c r="T22" s="137"/>
      <c r="U22" s="137"/>
      <c r="V22" s="155"/>
    </row>
    <row r="23" spans="1:22" ht="37.200000000000003" customHeight="1">
      <c r="A23" s="129"/>
      <c r="B23" s="119"/>
      <c r="C23" s="129"/>
      <c r="D23" s="129"/>
      <c r="E23" s="129"/>
      <c r="F23" s="129"/>
      <c r="G23" s="129"/>
      <c r="H23" s="129"/>
      <c r="I23" s="130"/>
      <c r="J23" s="129"/>
      <c r="K23" s="129"/>
      <c r="L23" s="131"/>
      <c r="M23" s="131"/>
      <c r="N23" s="131"/>
      <c r="O23" s="131"/>
      <c r="P23" s="131"/>
      <c r="Q23" s="131"/>
      <c r="R23" s="131"/>
      <c r="S23" s="131"/>
      <c r="T23" s="131"/>
      <c r="U23" s="131"/>
      <c r="V23" s="155"/>
    </row>
    <row r="24" spans="1:22" ht="37.200000000000003" customHeight="1">
      <c r="A24" s="129"/>
      <c r="B24" s="119"/>
      <c r="C24" s="129"/>
      <c r="D24" s="129"/>
      <c r="E24" s="129"/>
      <c r="F24" s="129"/>
      <c r="G24" s="129"/>
      <c r="H24" s="129"/>
      <c r="I24" s="130"/>
      <c r="J24" s="129"/>
      <c r="K24" s="129"/>
      <c r="L24" s="131"/>
      <c r="M24" s="131"/>
      <c r="N24" s="131"/>
      <c r="O24" s="131"/>
      <c r="P24" s="131"/>
      <c r="Q24" s="131"/>
      <c r="R24" s="131"/>
      <c r="S24" s="131"/>
      <c r="T24" s="131"/>
      <c r="U24" s="131"/>
      <c r="V24" s="155"/>
    </row>
    <row r="25" spans="1:22" ht="37.200000000000003" customHeight="1">
      <c r="A25" s="129"/>
      <c r="B25" s="119"/>
      <c r="C25" s="129"/>
      <c r="D25" s="129"/>
      <c r="E25" s="129"/>
      <c r="F25" s="129"/>
      <c r="G25" s="129"/>
      <c r="H25" s="129"/>
      <c r="I25" s="130"/>
      <c r="J25" s="129"/>
      <c r="K25" s="129"/>
      <c r="L25" s="131"/>
      <c r="M25" s="131"/>
      <c r="N25" s="131"/>
      <c r="O25" s="131"/>
      <c r="P25" s="131"/>
      <c r="Q25" s="131"/>
      <c r="R25" s="131"/>
      <c r="S25" s="131"/>
      <c r="T25" s="131"/>
      <c r="U25" s="131"/>
      <c r="V25" s="155"/>
    </row>
    <row r="26" spans="1:22" ht="37.200000000000003" customHeight="1">
      <c r="A26" s="129"/>
      <c r="B26" s="123"/>
      <c r="C26" s="129"/>
      <c r="D26" s="129"/>
      <c r="E26" s="129"/>
      <c r="F26" s="129"/>
      <c r="G26" s="129"/>
      <c r="H26" s="129"/>
      <c r="I26" s="130"/>
      <c r="J26" s="129"/>
      <c r="K26" s="129"/>
      <c r="L26" s="131"/>
      <c r="M26" s="131"/>
      <c r="N26" s="131"/>
      <c r="O26" s="131"/>
      <c r="P26" s="131"/>
      <c r="Q26" s="131"/>
      <c r="R26" s="131"/>
      <c r="S26" s="131"/>
      <c r="T26" s="131"/>
      <c r="U26" s="131"/>
      <c r="V26" s="155"/>
    </row>
    <row r="27" spans="1:22" ht="37.200000000000003" customHeight="1">
      <c r="A27" s="129"/>
      <c r="B27" s="119"/>
      <c r="C27" s="129"/>
      <c r="D27" s="129"/>
      <c r="E27" s="129"/>
      <c r="F27" s="129"/>
      <c r="G27" s="129"/>
      <c r="H27" s="129"/>
      <c r="I27" s="130"/>
      <c r="J27" s="129"/>
      <c r="K27" s="129"/>
      <c r="L27" s="131"/>
      <c r="M27" s="131"/>
      <c r="N27" s="131"/>
      <c r="O27" s="131"/>
      <c r="P27" s="131"/>
      <c r="Q27" s="131"/>
      <c r="R27" s="131"/>
      <c r="S27" s="131"/>
      <c r="T27" s="131"/>
      <c r="U27" s="131"/>
      <c r="V27" s="155"/>
    </row>
    <row r="28" spans="1:22" ht="37.200000000000003" customHeight="1">
      <c r="A28" s="129"/>
      <c r="B28" s="119"/>
      <c r="C28" s="129"/>
      <c r="D28" s="129"/>
      <c r="E28" s="129"/>
      <c r="F28" s="129"/>
      <c r="G28" s="129"/>
      <c r="H28" s="129"/>
      <c r="I28" s="129"/>
      <c r="J28" s="129"/>
      <c r="K28" s="129"/>
      <c r="L28" s="131"/>
      <c r="M28" s="131"/>
      <c r="N28" s="131"/>
      <c r="O28" s="131"/>
      <c r="P28" s="131"/>
      <c r="Q28" s="131"/>
      <c r="R28" s="131"/>
      <c r="S28" s="131"/>
      <c r="T28" s="131"/>
      <c r="U28" s="131"/>
      <c r="V28" s="155"/>
    </row>
    <row r="29" spans="1:22" ht="37.200000000000003" customHeight="1">
      <c r="A29" s="129"/>
      <c r="B29" s="119"/>
      <c r="C29" s="129"/>
      <c r="D29" s="129"/>
      <c r="E29" s="129"/>
      <c r="F29" s="129"/>
      <c r="G29" s="129"/>
      <c r="H29" s="129"/>
      <c r="I29" s="130"/>
      <c r="J29" s="129"/>
      <c r="K29" s="129"/>
      <c r="L29" s="131"/>
      <c r="M29" s="131"/>
      <c r="N29" s="131"/>
      <c r="O29" s="131"/>
      <c r="P29" s="131"/>
      <c r="Q29" s="131"/>
      <c r="R29" s="131"/>
      <c r="S29" s="131"/>
      <c r="T29" s="131"/>
      <c r="U29" s="131"/>
      <c r="V29" s="155"/>
    </row>
    <row r="30" spans="1:22" ht="37.200000000000003" customHeight="1">
      <c r="A30" s="129"/>
      <c r="B30" s="119"/>
      <c r="C30" s="129"/>
      <c r="D30" s="129"/>
      <c r="E30" s="129"/>
      <c r="F30" s="129"/>
      <c r="G30" s="129"/>
      <c r="H30" s="129"/>
      <c r="I30" s="130"/>
      <c r="J30" s="129"/>
      <c r="K30" s="129"/>
      <c r="L30" s="131"/>
      <c r="M30" s="131"/>
      <c r="N30" s="131"/>
      <c r="O30" s="131"/>
      <c r="P30" s="131"/>
      <c r="Q30" s="131"/>
      <c r="R30" s="131"/>
      <c r="S30" s="131"/>
      <c r="T30" s="131"/>
      <c r="U30" s="131"/>
      <c r="V30" s="155"/>
    </row>
    <row r="31" spans="1:22" ht="37.200000000000003" customHeight="1">
      <c r="A31" s="129"/>
      <c r="B31" s="119"/>
      <c r="C31" s="129"/>
      <c r="D31" s="129"/>
      <c r="E31" s="129"/>
      <c r="F31" s="129"/>
      <c r="G31" s="129"/>
      <c r="H31" s="129"/>
      <c r="I31" s="130"/>
      <c r="J31" s="129"/>
      <c r="K31" s="129"/>
      <c r="L31" s="131"/>
      <c r="M31" s="131"/>
      <c r="N31" s="131"/>
      <c r="O31" s="131"/>
      <c r="P31" s="131"/>
      <c r="Q31" s="131"/>
      <c r="R31" s="131"/>
      <c r="S31" s="131"/>
      <c r="T31" s="131"/>
      <c r="U31" s="131"/>
      <c r="V31" s="155"/>
    </row>
    <row r="32" spans="1:22" ht="37.200000000000003" customHeight="1">
      <c r="A32" s="129"/>
      <c r="B32" s="119"/>
      <c r="C32" s="129"/>
      <c r="D32" s="129"/>
      <c r="E32" s="129"/>
      <c r="F32" s="129"/>
      <c r="G32" s="129"/>
      <c r="H32" s="129"/>
      <c r="I32" s="130"/>
      <c r="J32" s="129"/>
      <c r="K32" s="129"/>
      <c r="L32" s="131"/>
      <c r="M32" s="131"/>
      <c r="N32" s="131"/>
      <c r="O32" s="131"/>
      <c r="P32" s="131"/>
      <c r="Q32" s="131"/>
      <c r="R32" s="131"/>
      <c r="S32" s="131"/>
      <c r="T32" s="131"/>
      <c r="U32" s="131"/>
      <c r="V32" s="155"/>
    </row>
    <row r="33" spans="1:22" ht="37.200000000000003" customHeight="1">
      <c r="A33" s="129"/>
      <c r="B33" s="119"/>
      <c r="C33" s="129"/>
      <c r="D33" s="129"/>
      <c r="E33" s="129"/>
      <c r="F33" s="129"/>
      <c r="G33" s="129"/>
      <c r="H33" s="129"/>
      <c r="I33" s="130"/>
      <c r="J33" s="129"/>
      <c r="K33" s="129"/>
      <c r="L33" s="131"/>
      <c r="M33" s="131"/>
      <c r="N33" s="131"/>
      <c r="O33" s="131"/>
      <c r="P33" s="131"/>
      <c r="Q33" s="131"/>
      <c r="R33" s="131"/>
      <c r="S33" s="131"/>
      <c r="T33" s="131"/>
      <c r="U33" s="131"/>
      <c r="V33" s="155"/>
    </row>
    <row r="34" spans="1:22" ht="37.200000000000003" customHeight="1">
      <c r="A34" s="129"/>
      <c r="B34" s="119"/>
      <c r="C34" s="129"/>
      <c r="D34" s="129"/>
      <c r="E34" s="129"/>
      <c r="F34" s="129"/>
      <c r="G34" s="129"/>
      <c r="H34" s="129"/>
      <c r="I34" s="130"/>
      <c r="J34" s="129"/>
      <c r="K34" s="129"/>
      <c r="L34" s="131"/>
      <c r="M34" s="131"/>
      <c r="N34" s="131"/>
      <c r="O34" s="131"/>
      <c r="P34" s="131"/>
      <c r="Q34" s="131"/>
      <c r="R34" s="131"/>
      <c r="S34" s="131"/>
      <c r="T34" s="131"/>
      <c r="U34" s="131"/>
      <c r="V34" s="155"/>
    </row>
    <row r="35" spans="1:22" ht="37.200000000000003" customHeight="1">
      <c r="A35" s="129"/>
      <c r="B35" s="119"/>
      <c r="C35" s="129"/>
      <c r="D35" s="129"/>
      <c r="E35" s="129"/>
      <c r="F35" s="129"/>
      <c r="G35" s="129"/>
      <c r="H35" s="129"/>
      <c r="I35" s="130"/>
      <c r="J35" s="129"/>
      <c r="K35" s="129"/>
      <c r="L35" s="131"/>
      <c r="M35" s="131"/>
      <c r="N35" s="131"/>
      <c r="O35" s="131"/>
      <c r="P35" s="131"/>
      <c r="Q35" s="131"/>
      <c r="R35" s="131"/>
      <c r="S35" s="131"/>
      <c r="T35" s="131"/>
      <c r="U35" s="131"/>
      <c r="V35" s="155"/>
    </row>
    <row r="36" spans="1:22" ht="37.200000000000003" customHeight="1">
      <c r="A36" s="129"/>
      <c r="B36" s="119"/>
      <c r="C36" s="129"/>
      <c r="D36" s="129"/>
      <c r="E36" s="129"/>
      <c r="F36" s="129"/>
      <c r="G36" s="129"/>
      <c r="H36" s="129"/>
      <c r="I36" s="130"/>
      <c r="J36" s="129"/>
      <c r="K36" s="129"/>
      <c r="L36" s="131"/>
      <c r="M36" s="131"/>
      <c r="N36" s="131"/>
      <c r="O36" s="131"/>
      <c r="P36" s="131"/>
      <c r="Q36" s="131"/>
      <c r="R36" s="131"/>
      <c r="S36" s="131"/>
      <c r="T36" s="131"/>
      <c r="U36" s="131"/>
      <c r="V36" s="155"/>
    </row>
    <row r="37" spans="1:22" ht="37.200000000000003" customHeight="1">
      <c r="A37" s="129"/>
      <c r="B37" s="119"/>
      <c r="C37" s="129"/>
      <c r="D37" s="129"/>
      <c r="E37" s="129"/>
      <c r="F37" s="129"/>
      <c r="G37" s="129"/>
      <c r="H37" s="129"/>
      <c r="I37" s="130"/>
      <c r="J37" s="129"/>
      <c r="K37" s="129"/>
      <c r="L37" s="131"/>
      <c r="M37" s="131"/>
      <c r="N37" s="131"/>
      <c r="O37" s="131"/>
      <c r="P37" s="131"/>
      <c r="Q37" s="131"/>
      <c r="R37" s="131"/>
      <c r="S37" s="131"/>
      <c r="T37" s="131"/>
      <c r="U37" s="131"/>
      <c r="V37" s="155"/>
    </row>
    <row r="38" spans="1:22" ht="37.200000000000003" customHeight="1">
      <c r="A38" s="129"/>
      <c r="B38" s="119"/>
      <c r="C38" s="129"/>
      <c r="D38" s="129"/>
      <c r="E38" s="129"/>
      <c r="F38" s="129"/>
      <c r="G38" s="129"/>
      <c r="H38" s="129"/>
      <c r="I38" s="130"/>
      <c r="J38" s="129"/>
      <c r="K38" s="129"/>
      <c r="L38" s="131"/>
      <c r="M38" s="131"/>
      <c r="N38" s="131"/>
      <c r="O38" s="131"/>
      <c r="P38" s="131"/>
      <c r="Q38" s="131"/>
      <c r="R38" s="131"/>
      <c r="S38" s="131"/>
      <c r="T38" s="131"/>
      <c r="U38" s="131"/>
      <c r="V38" s="155"/>
    </row>
    <row r="39" spans="1:22" ht="37.200000000000003" customHeight="1">
      <c r="A39" s="129"/>
      <c r="B39" s="119"/>
      <c r="C39" s="129"/>
      <c r="D39" s="129"/>
      <c r="E39" s="129"/>
      <c r="F39" s="129"/>
      <c r="G39" s="129"/>
      <c r="H39" s="129"/>
      <c r="I39" s="130"/>
      <c r="J39" s="129"/>
      <c r="K39" s="129"/>
      <c r="L39" s="131"/>
      <c r="M39" s="131"/>
      <c r="N39" s="131"/>
      <c r="O39" s="131"/>
      <c r="P39" s="131"/>
      <c r="Q39" s="131"/>
      <c r="R39" s="131"/>
      <c r="S39" s="131"/>
      <c r="T39" s="131"/>
      <c r="U39" s="131"/>
      <c r="V39" s="155"/>
    </row>
    <row r="40" spans="1:22" ht="37.200000000000003" customHeight="1">
      <c r="A40" s="129"/>
      <c r="B40" s="119"/>
      <c r="C40" s="129"/>
      <c r="D40" s="129"/>
      <c r="E40" s="129"/>
      <c r="F40" s="129"/>
      <c r="G40" s="129"/>
      <c r="H40" s="129"/>
      <c r="I40" s="130"/>
      <c r="J40" s="129"/>
      <c r="K40" s="129"/>
      <c r="L40" s="131"/>
      <c r="M40" s="131"/>
      <c r="N40" s="131"/>
      <c r="O40" s="131"/>
      <c r="P40" s="131"/>
      <c r="Q40" s="131"/>
      <c r="R40" s="131"/>
      <c r="S40" s="131"/>
      <c r="T40" s="131"/>
      <c r="U40" s="131"/>
      <c r="V40" s="155"/>
    </row>
    <row r="41" spans="1:22" ht="37.200000000000003" customHeight="1">
      <c r="A41" s="129"/>
      <c r="B41" s="119"/>
      <c r="C41" s="129"/>
      <c r="D41" s="129"/>
      <c r="E41" s="129"/>
      <c r="F41" s="129"/>
      <c r="G41" s="129"/>
      <c r="H41" s="129"/>
      <c r="I41" s="130"/>
      <c r="J41" s="129"/>
      <c r="K41" s="129"/>
      <c r="L41" s="131"/>
      <c r="M41" s="131"/>
      <c r="N41" s="131"/>
      <c r="O41" s="131"/>
      <c r="P41" s="131"/>
      <c r="Q41" s="131"/>
      <c r="R41" s="131"/>
      <c r="S41" s="131"/>
      <c r="T41" s="131"/>
      <c r="U41" s="131"/>
      <c r="V41" s="155"/>
    </row>
    <row r="42" spans="1:22" ht="37.200000000000003" customHeight="1">
      <c r="A42" s="129"/>
      <c r="B42" s="119"/>
      <c r="C42" s="129"/>
      <c r="D42" s="129"/>
      <c r="E42" s="129"/>
      <c r="F42" s="129"/>
      <c r="G42" s="129"/>
      <c r="H42" s="129"/>
      <c r="I42" s="130"/>
      <c r="J42" s="129"/>
      <c r="K42" s="129"/>
      <c r="L42" s="131"/>
      <c r="M42" s="131"/>
      <c r="N42" s="131"/>
      <c r="O42" s="131"/>
      <c r="P42" s="131"/>
      <c r="Q42" s="131"/>
      <c r="R42" s="131"/>
      <c r="S42" s="131"/>
      <c r="T42" s="131"/>
      <c r="U42" s="131"/>
      <c r="V42" s="155"/>
    </row>
    <row r="43" spans="1:22" ht="37.200000000000003" customHeight="1">
      <c r="A43" s="129"/>
      <c r="B43" s="119"/>
      <c r="C43" s="129"/>
      <c r="D43" s="129"/>
      <c r="E43" s="129"/>
      <c r="F43" s="129"/>
      <c r="G43" s="129"/>
      <c r="H43" s="129"/>
      <c r="I43" s="130"/>
      <c r="J43" s="129"/>
      <c r="K43" s="129"/>
      <c r="L43" s="131"/>
      <c r="M43" s="131"/>
      <c r="N43" s="131"/>
      <c r="O43" s="131"/>
      <c r="P43" s="131"/>
      <c r="Q43" s="131"/>
      <c r="R43" s="131"/>
      <c r="S43" s="131"/>
      <c r="T43" s="131"/>
      <c r="U43" s="131"/>
      <c r="V43" s="155"/>
    </row>
    <row r="44" spans="1:22" ht="37.200000000000003" customHeight="1">
      <c r="A44" s="129"/>
      <c r="B44" s="119"/>
      <c r="C44" s="129"/>
      <c r="D44" s="129"/>
      <c r="E44" s="129"/>
      <c r="F44" s="129"/>
      <c r="G44" s="129"/>
      <c r="H44" s="129"/>
      <c r="I44" s="129"/>
      <c r="J44" s="129"/>
      <c r="K44" s="129"/>
      <c r="L44" s="131"/>
      <c r="M44" s="131"/>
      <c r="N44" s="131"/>
      <c r="O44" s="131"/>
      <c r="P44" s="131"/>
      <c r="Q44" s="131"/>
      <c r="R44" s="131"/>
      <c r="S44" s="131"/>
      <c r="T44" s="131"/>
      <c r="U44" s="131"/>
      <c r="V44" s="155"/>
    </row>
    <row r="45" spans="1:22" ht="37.200000000000003" customHeight="1">
      <c r="A45" s="129"/>
      <c r="B45" s="119"/>
      <c r="C45" s="129"/>
      <c r="D45" s="129"/>
      <c r="E45" s="129"/>
      <c r="F45" s="129"/>
      <c r="G45" s="129"/>
      <c r="H45" s="129"/>
      <c r="I45" s="130"/>
      <c r="J45" s="129"/>
      <c r="K45" s="129"/>
      <c r="L45" s="131"/>
      <c r="M45" s="131"/>
      <c r="N45" s="131"/>
      <c r="O45" s="131"/>
      <c r="P45" s="131"/>
      <c r="Q45" s="131"/>
      <c r="R45" s="131"/>
      <c r="S45" s="131"/>
      <c r="T45" s="131"/>
      <c r="U45" s="131"/>
      <c r="V45" s="155"/>
    </row>
    <row r="46" spans="1:22" ht="37.200000000000003" customHeight="1">
      <c r="A46" s="129"/>
      <c r="B46" s="119"/>
      <c r="C46" s="129"/>
      <c r="D46" s="129"/>
      <c r="E46" s="129"/>
      <c r="F46" s="129"/>
      <c r="G46" s="129"/>
      <c r="H46" s="129"/>
      <c r="I46" s="129"/>
      <c r="J46" s="129"/>
      <c r="K46" s="129"/>
      <c r="L46" s="131"/>
      <c r="M46" s="131"/>
      <c r="N46" s="131"/>
      <c r="O46" s="131"/>
      <c r="P46" s="131"/>
      <c r="Q46" s="131"/>
      <c r="R46" s="131"/>
      <c r="S46" s="131"/>
      <c r="T46" s="131"/>
      <c r="U46" s="131"/>
      <c r="V46" s="155"/>
    </row>
    <row r="47" spans="1:22" ht="37.200000000000003" customHeight="1">
      <c r="A47" s="129"/>
      <c r="B47" s="119"/>
      <c r="C47" s="129"/>
      <c r="D47" s="129"/>
      <c r="E47" s="129"/>
      <c r="F47" s="129"/>
      <c r="G47" s="129"/>
      <c r="H47" s="129"/>
      <c r="I47" s="130"/>
      <c r="J47" s="129"/>
      <c r="K47" s="129"/>
      <c r="L47" s="131"/>
      <c r="M47" s="131"/>
      <c r="N47" s="131"/>
      <c r="O47" s="131"/>
      <c r="P47" s="131"/>
      <c r="Q47" s="131"/>
      <c r="R47" s="131"/>
      <c r="S47" s="131"/>
      <c r="T47" s="131"/>
      <c r="U47" s="131"/>
      <c r="V47" s="155"/>
    </row>
    <row r="48" spans="1:22" ht="37.200000000000003" customHeight="1">
      <c r="A48" s="129"/>
      <c r="B48" s="119"/>
      <c r="C48" s="129"/>
      <c r="D48" s="129"/>
      <c r="E48" s="129"/>
      <c r="F48" s="129"/>
      <c r="G48" s="129"/>
      <c r="H48" s="129"/>
      <c r="I48" s="130"/>
      <c r="J48" s="129"/>
      <c r="K48" s="129"/>
      <c r="L48" s="131"/>
      <c r="M48" s="131"/>
      <c r="N48" s="131"/>
      <c r="O48" s="131"/>
      <c r="P48" s="131"/>
      <c r="Q48" s="131"/>
      <c r="R48" s="131"/>
      <c r="S48" s="131"/>
      <c r="T48" s="131"/>
      <c r="U48" s="131"/>
      <c r="V48" s="155"/>
    </row>
    <row r="49" spans="1:22" ht="37.200000000000003" customHeight="1">
      <c r="A49" s="129"/>
      <c r="B49" s="119"/>
      <c r="C49" s="129"/>
      <c r="D49" s="129"/>
      <c r="E49" s="129"/>
      <c r="F49" s="129"/>
      <c r="G49" s="129"/>
      <c r="H49" s="129"/>
      <c r="I49" s="130"/>
      <c r="J49" s="129"/>
      <c r="K49" s="129"/>
      <c r="L49" s="131"/>
      <c r="M49" s="131"/>
      <c r="N49" s="131"/>
      <c r="O49" s="131"/>
      <c r="P49" s="131"/>
      <c r="Q49" s="131"/>
      <c r="R49" s="131"/>
      <c r="S49" s="131"/>
      <c r="T49" s="131"/>
      <c r="U49" s="131"/>
      <c r="V49" s="155"/>
    </row>
  </sheetData>
  <mergeCells count="11">
    <mergeCell ref="A1:A2"/>
    <mergeCell ref="B1:B2"/>
    <mergeCell ref="F1:G1"/>
    <mergeCell ref="H1:I1"/>
    <mergeCell ref="J1:K1"/>
    <mergeCell ref="D1:E1"/>
    <mergeCell ref="V1:V2"/>
    <mergeCell ref="P1:P2"/>
    <mergeCell ref="Q1:Q2"/>
    <mergeCell ref="R1:R2"/>
    <mergeCell ref="O1:O2"/>
  </mergeCells>
  <hyperlinks>
    <hyperlink ref="B9" r:id="rId1" display="https://pubmed-ncbi-nlm-nih-gov.proxy.insermbiblio.inist.fr/?term=Kaji+T&amp;cauthor_id=27771229" xr:uid="{EA2BA529-7BFB-4973-9CB5-2AE6C7E621D9}"/>
    <hyperlink ref="B7" r:id="rId2" display="https://pubmed-ncbi-nlm-nih-gov.proxy.insermbiblio.inist.fr/?term=Lee+SH&amp;cauthor_id=29361821" xr:uid="{0AA0BB02-F68D-4BA3-AE49-AAF2A383579E}"/>
    <hyperlink ref="B3" r:id="rId3" display="https://pubmed-ncbi-nlm-nih-gov.proxy.insermbiblio.inist.fr/?term=Sheen+YS&amp;cauthor_id=31408190" xr:uid="{4D45DA5E-2614-4821-B03C-0E37464CD6C9}"/>
    <hyperlink ref="B14" r:id="rId4" display="https://pubmed-ncbi-nlm-nih-gov.proxy.insermbiblio.inist.fr/?term=Kong+Y&amp;cauthor_id=21325067" xr:uid="{5DA2115C-436B-418B-90CF-402FD7E614EA}"/>
  </hyperlinks>
  <pageMargins left="0.7" right="0.7" top="0.75" bottom="0.75" header="0.3" footer="0.3"/>
  <pageSetup orientation="portrait" r:id="rId5"/>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AB4AF-D1C3-48D4-9E65-5B151343A7F4}">
  <dimension ref="A1:JA57"/>
  <sheetViews>
    <sheetView showGridLines="0" tabSelected="1" zoomScale="86" zoomScaleNormal="82" workbookViewId="0">
      <pane xSplit="2" ySplit="2" topLeftCell="X3" activePane="bottomRight" state="frozen"/>
      <selection pane="topRight" activeCell="C1" sqref="C1"/>
      <selection pane="bottomLeft" activeCell="A3" sqref="A3"/>
      <selection pane="bottomRight" activeCell="AB9" sqref="AB9"/>
    </sheetView>
  </sheetViews>
  <sheetFormatPr defaultColWidth="8.6640625" defaultRowHeight="15"/>
  <cols>
    <col min="1" max="1" width="6" style="1" customWidth="1"/>
    <col min="2" max="2" width="27.109375" style="108" customWidth="1"/>
    <col min="3" max="3" width="9.109375" style="2" customWidth="1"/>
    <col min="4" max="4" width="14.6640625" style="50" customWidth="1"/>
    <col min="5" max="6" width="11.5546875" style="2" customWidth="1"/>
    <col min="7" max="7" width="9.88671875" style="50" customWidth="1"/>
    <col min="8" max="8" width="9.109375" style="65" customWidth="1"/>
    <col min="9" max="9" width="12" style="65" customWidth="1"/>
    <col min="10" max="10" width="9.109375" style="65" customWidth="1"/>
    <col min="11" max="11" width="6.6640625" style="65" customWidth="1"/>
    <col min="12" max="12" width="12.109375" style="65" customWidth="1"/>
    <col min="13" max="13" width="13.109375" style="65" customWidth="1"/>
    <col min="14" max="14" width="10.109375" style="65" customWidth="1"/>
    <col min="15" max="15" width="10.6640625" style="65" customWidth="1"/>
    <col min="16" max="17" width="9.109375" style="65" customWidth="1"/>
    <col min="18" max="155" width="11.33203125" style="67" customWidth="1"/>
    <col min="156" max="156" width="11.88671875" style="67" customWidth="1"/>
    <col min="157" max="157" width="13.6640625" style="67" customWidth="1"/>
    <col min="158" max="158" width="11.109375" style="67" customWidth="1"/>
    <col min="159" max="159" width="29.6640625" style="67" customWidth="1"/>
    <col min="160" max="160" width="12.109375" style="67" customWidth="1"/>
    <col min="161" max="161" width="10.109375" style="67" customWidth="1"/>
    <col min="162" max="205" width="11.44140625" style="67" customWidth="1"/>
    <col min="206" max="208" width="8.6640625" style="67"/>
    <col min="209" max="16384" width="8.6640625" style="2"/>
  </cols>
  <sheetData>
    <row r="1" spans="1:261" s="97" customFormat="1" ht="34.200000000000003" customHeight="1">
      <c r="A1" s="175" t="s">
        <v>15</v>
      </c>
      <c r="B1" s="176" t="s">
        <v>0</v>
      </c>
      <c r="C1" s="175" t="s">
        <v>383</v>
      </c>
      <c r="D1" s="174" t="s">
        <v>386</v>
      </c>
      <c r="E1" s="174" t="s">
        <v>514</v>
      </c>
      <c r="F1" s="174" t="s">
        <v>632</v>
      </c>
      <c r="G1" s="171" t="s">
        <v>621</v>
      </c>
      <c r="H1" s="171" t="s">
        <v>622</v>
      </c>
      <c r="I1" s="171" t="s">
        <v>518</v>
      </c>
      <c r="J1" s="171" t="s">
        <v>520</v>
      </c>
      <c r="K1" s="171" t="s">
        <v>519</v>
      </c>
      <c r="L1" s="171" t="s">
        <v>623</v>
      </c>
      <c r="M1" s="171" t="s">
        <v>624</v>
      </c>
      <c r="N1" s="171" t="s">
        <v>521</v>
      </c>
      <c r="O1" s="171" t="s">
        <v>522</v>
      </c>
      <c r="P1" s="171" t="s">
        <v>523</v>
      </c>
      <c r="Q1" s="171" t="s">
        <v>4</v>
      </c>
      <c r="R1" s="98" t="s">
        <v>17</v>
      </c>
      <c r="S1" s="98"/>
      <c r="T1" s="98"/>
      <c r="U1" s="98"/>
      <c r="V1" s="98"/>
      <c r="W1" s="98"/>
      <c r="X1" s="98"/>
      <c r="Y1" s="98"/>
      <c r="Z1" s="98"/>
      <c r="AA1" s="98"/>
      <c r="AB1" s="98"/>
      <c r="AC1" s="98"/>
      <c r="AD1" s="98"/>
      <c r="AE1" s="98"/>
      <c r="AF1" s="98"/>
      <c r="AG1" s="98"/>
      <c r="AH1" s="98"/>
      <c r="AI1" s="98"/>
      <c r="AJ1" s="98"/>
      <c r="AK1" s="98"/>
      <c r="AL1" s="98"/>
      <c r="AM1" s="98"/>
      <c r="AN1" s="98"/>
      <c r="AO1" s="98"/>
      <c r="AP1" s="98"/>
      <c r="AQ1" s="98"/>
      <c r="AR1" s="98"/>
      <c r="AS1" s="98"/>
      <c r="AT1" s="98"/>
      <c r="AU1" s="98"/>
      <c r="AV1" s="98"/>
      <c r="AW1" s="98"/>
      <c r="AX1" s="98"/>
      <c r="AY1" s="98"/>
      <c r="AZ1" s="98"/>
      <c r="BA1" s="98"/>
      <c r="BB1" s="98"/>
      <c r="BC1" s="98"/>
      <c r="BD1" s="98"/>
      <c r="BE1" s="98"/>
      <c r="BF1" s="170"/>
      <c r="BG1" s="170"/>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R1" s="99"/>
      <c r="DS1" s="99"/>
      <c r="DT1" s="99"/>
      <c r="DU1" s="99"/>
      <c r="DV1" s="99"/>
      <c r="DW1" s="99"/>
      <c r="DX1" s="99"/>
      <c r="DY1" s="99"/>
      <c r="DZ1" s="99"/>
      <c r="EA1" s="99"/>
      <c r="EB1" s="99"/>
      <c r="EC1" s="99"/>
      <c r="ED1" s="99"/>
      <c r="EE1" s="99"/>
      <c r="EF1" s="99"/>
      <c r="EG1" s="99"/>
      <c r="EH1" s="99"/>
      <c r="EI1" s="99"/>
      <c r="EJ1" s="99"/>
      <c r="EK1" s="99"/>
      <c r="EL1" s="99"/>
      <c r="EM1" s="99"/>
      <c r="EN1" s="99"/>
      <c r="EO1" s="99"/>
      <c r="EP1" s="99"/>
      <c r="EQ1" s="99"/>
      <c r="ER1" s="99"/>
      <c r="ES1" s="99"/>
      <c r="ET1" s="99"/>
      <c r="EU1" s="99"/>
      <c r="EV1" s="99"/>
      <c r="EW1" s="99"/>
      <c r="EX1" s="99"/>
      <c r="EY1" s="99"/>
      <c r="EZ1" s="172" t="s">
        <v>383</v>
      </c>
      <c r="FA1" s="173" t="s">
        <v>461</v>
      </c>
      <c r="FB1" s="174" t="s">
        <v>387</v>
      </c>
      <c r="FC1" s="32"/>
      <c r="FD1" s="100"/>
      <c r="FE1" s="100"/>
      <c r="FF1" s="101" t="s">
        <v>18</v>
      </c>
      <c r="FG1" s="101"/>
      <c r="FH1" s="101"/>
      <c r="FI1" s="101"/>
      <c r="FJ1" s="101"/>
      <c r="FK1" s="101"/>
      <c r="FL1" s="101"/>
      <c r="FM1" s="101"/>
      <c r="FN1" s="101"/>
      <c r="FO1" s="101"/>
      <c r="FP1" s="101"/>
      <c r="FQ1" s="101"/>
      <c r="FR1" s="101"/>
      <c r="FS1" s="101"/>
      <c r="FT1" s="101"/>
      <c r="FU1" s="101"/>
      <c r="FV1" s="101"/>
      <c r="FW1" s="101"/>
      <c r="FX1" s="101"/>
      <c r="FY1" s="101"/>
      <c r="FZ1" s="101"/>
      <c r="GA1" s="101"/>
      <c r="GB1" s="101"/>
      <c r="GC1" s="101"/>
      <c r="GD1" s="101"/>
      <c r="GE1" s="101"/>
      <c r="GF1" s="101"/>
      <c r="GG1" s="101"/>
      <c r="GH1" s="101"/>
      <c r="GI1" s="101"/>
      <c r="GJ1" s="101"/>
      <c r="GK1" s="101"/>
      <c r="GL1" s="101"/>
      <c r="GM1" s="101"/>
      <c r="GN1" s="101"/>
      <c r="GO1" s="101"/>
      <c r="GP1" s="101"/>
      <c r="GQ1" s="101"/>
      <c r="GR1" s="101"/>
      <c r="GS1" s="101"/>
      <c r="GT1" s="101"/>
      <c r="GU1" s="101"/>
      <c r="GV1" s="101"/>
      <c r="GW1" s="169"/>
      <c r="GX1" s="169"/>
      <c r="GY1" s="169"/>
      <c r="GZ1" s="169"/>
      <c r="HA1" s="169"/>
      <c r="HB1" s="169"/>
      <c r="HC1" s="169"/>
      <c r="HD1" s="169"/>
      <c r="HE1" s="115"/>
      <c r="HF1" s="101"/>
      <c r="HG1" s="101"/>
      <c r="HH1" s="101"/>
      <c r="HI1" s="101"/>
      <c r="HJ1" s="101"/>
      <c r="HK1" s="101"/>
      <c r="HL1" s="101"/>
      <c r="HM1" s="101"/>
      <c r="HN1" s="101"/>
      <c r="HO1" s="101"/>
      <c r="HP1" s="101"/>
      <c r="HQ1" s="101"/>
      <c r="HR1" s="101"/>
      <c r="HS1" s="101"/>
      <c r="HT1" s="101"/>
      <c r="HU1" s="101"/>
      <c r="HV1" s="101"/>
      <c r="HW1" s="101"/>
      <c r="HX1" s="101"/>
      <c r="HY1" s="101"/>
      <c r="HZ1" s="101"/>
      <c r="IA1" s="101"/>
      <c r="IB1" s="101"/>
      <c r="IC1" s="101"/>
      <c r="ID1" s="101"/>
      <c r="IE1" s="101"/>
      <c r="IF1" s="101"/>
      <c r="IG1" s="101"/>
      <c r="IH1" s="101"/>
      <c r="II1" s="101"/>
      <c r="IJ1" s="101"/>
      <c r="IK1" s="101"/>
      <c r="IL1" s="101"/>
      <c r="IM1" s="101"/>
      <c r="IN1" s="101"/>
      <c r="IO1" s="101"/>
      <c r="IP1" s="101"/>
      <c r="IQ1" s="101"/>
      <c r="IR1" s="101"/>
      <c r="IS1" s="101"/>
      <c r="IT1" s="101"/>
      <c r="IU1" s="101"/>
      <c r="IV1" s="101"/>
      <c r="IW1" s="101"/>
      <c r="IX1" s="101"/>
      <c r="IY1" s="101"/>
      <c r="IZ1" s="101"/>
      <c r="JA1" s="101"/>
    </row>
    <row r="2" spans="1:261" s="102" customFormat="1" ht="54" customHeight="1">
      <c r="A2" s="175"/>
      <c r="B2" s="176"/>
      <c r="C2" s="175"/>
      <c r="D2" s="174"/>
      <c r="E2" s="174"/>
      <c r="F2" s="174"/>
      <c r="G2" s="171"/>
      <c r="H2" s="171"/>
      <c r="I2" s="171"/>
      <c r="J2" s="171"/>
      <c r="K2" s="171"/>
      <c r="L2" s="171"/>
      <c r="M2" s="171"/>
      <c r="N2" s="171"/>
      <c r="O2" s="171"/>
      <c r="P2" s="171"/>
      <c r="Q2" s="171"/>
      <c r="R2" s="64" t="s">
        <v>569</v>
      </c>
      <c r="S2" s="64" t="s">
        <v>608</v>
      </c>
      <c r="T2" s="64" t="s">
        <v>717</v>
      </c>
      <c r="U2" s="64" t="s">
        <v>609</v>
      </c>
      <c r="V2" s="64" t="s">
        <v>643</v>
      </c>
      <c r="W2" s="64" t="s">
        <v>560</v>
      </c>
      <c r="X2" s="64" t="s">
        <v>598</v>
      </c>
      <c r="Y2" s="64" t="s">
        <v>30</v>
      </c>
      <c r="Z2" s="64" t="s">
        <v>660</v>
      </c>
      <c r="AA2" s="64" t="s">
        <v>571</v>
      </c>
      <c r="AB2" s="64" t="s">
        <v>22</v>
      </c>
      <c r="AC2" s="64" t="s">
        <v>677</v>
      </c>
      <c r="AD2" s="64" t="s">
        <v>713</v>
      </c>
      <c r="AE2" s="64" t="s">
        <v>657</v>
      </c>
      <c r="AF2" s="64" t="s">
        <v>530</v>
      </c>
      <c r="AG2" s="64" t="s">
        <v>595</v>
      </c>
      <c r="AH2" s="64" t="s">
        <v>578</v>
      </c>
      <c r="AI2" s="64" t="s">
        <v>548</v>
      </c>
      <c r="AJ2" s="64" t="s">
        <v>697</v>
      </c>
      <c r="AK2" s="64" t="s">
        <v>579</v>
      </c>
      <c r="AL2" s="64" t="s">
        <v>580</v>
      </c>
      <c r="AM2" s="64" t="s">
        <v>561</v>
      </c>
      <c r="AN2" s="64" t="s">
        <v>581</v>
      </c>
      <c r="AO2" s="64" t="s">
        <v>647</v>
      </c>
      <c r="AP2" s="64" t="s">
        <v>534</v>
      </c>
      <c r="AQ2" s="64" t="s">
        <v>709</v>
      </c>
      <c r="AR2" s="64" t="s">
        <v>544</v>
      </c>
      <c r="AS2" s="64" t="s">
        <v>678</v>
      </c>
      <c r="AT2" s="64" t="s">
        <v>582</v>
      </c>
      <c r="AU2" s="64" t="s">
        <v>696</v>
      </c>
      <c r="AV2" s="64" t="s">
        <v>603</v>
      </c>
      <c r="AW2" s="64" t="s">
        <v>693</v>
      </c>
      <c r="AX2" s="64" t="s">
        <v>674</v>
      </c>
      <c r="AY2" s="64" t="s">
        <v>701</v>
      </c>
      <c r="AZ2" s="64" t="s">
        <v>695</v>
      </c>
      <c r="BA2" s="64" t="s">
        <v>562</v>
      </c>
      <c r="BB2" s="64" t="s">
        <v>565</v>
      </c>
      <c r="BC2" s="64" t="s">
        <v>180</v>
      </c>
      <c r="BD2" s="64" t="s">
        <v>563</v>
      </c>
      <c r="BE2" s="64" t="s">
        <v>640</v>
      </c>
      <c r="BF2" s="64" t="s">
        <v>583</v>
      </c>
      <c r="BG2" s="64" t="s">
        <v>584</v>
      </c>
      <c r="BH2" s="64" t="s">
        <v>585</v>
      </c>
      <c r="BI2" s="64" t="s">
        <v>586</v>
      </c>
      <c r="BJ2" s="64" t="s">
        <v>601</v>
      </c>
      <c r="BK2" s="64" t="s">
        <v>599</v>
      </c>
      <c r="BL2" s="64" t="s">
        <v>610</v>
      </c>
      <c r="BM2" s="64" t="s">
        <v>587</v>
      </c>
      <c r="BN2" s="64" t="s">
        <v>574</v>
      </c>
      <c r="BO2" s="64" t="s">
        <v>708</v>
      </c>
      <c r="BP2" s="64" t="s">
        <v>604</v>
      </c>
      <c r="BQ2" s="64" t="s">
        <v>556</v>
      </c>
      <c r="BR2" s="64" t="s">
        <v>614</v>
      </c>
      <c r="BS2" s="64" t="s">
        <v>634</v>
      </c>
      <c r="BT2" s="64" t="s">
        <v>716</v>
      </c>
      <c r="BU2" s="64" t="s">
        <v>704</v>
      </c>
      <c r="BV2" s="64" t="s">
        <v>572</v>
      </c>
      <c r="BW2" s="64" t="s">
        <v>588</v>
      </c>
      <c r="BX2" s="64" t="s">
        <v>557</v>
      </c>
      <c r="BY2" s="64" t="s">
        <v>597</v>
      </c>
      <c r="BZ2" s="64" t="s">
        <v>698</v>
      </c>
      <c r="CA2" s="64" t="s">
        <v>687</v>
      </c>
      <c r="CB2" s="64" t="s">
        <v>612</v>
      </c>
      <c r="CC2" s="64" t="s">
        <v>613</v>
      </c>
      <c r="CD2" s="64" t="s">
        <v>705</v>
      </c>
      <c r="CE2" s="64" t="s">
        <v>596</v>
      </c>
      <c r="CF2" s="64" t="s">
        <v>551</v>
      </c>
      <c r="CG2" s="64" t="s">
        <v>703</v>
      </c>
      <c r="CH2" s="64" t="s">
        <v>553</v>
      </c>
      <c r="CI2" s="64" t="s">
        <v>543</v>
      </c>
      <c r="CJ2" s="64" t="s">
        <v>555</v>
      </c>
      <c r="CK2" s="64" t="s">
        <v>721</v>
      </c>
      <c r="CL2" s="64" t="s">
        <v>589</v>
      </c>
      <c r="CM2" s="64" t="s">
        <v>700</v>
      </c>
      <c r="CN2" s="64" t="s">
        <v>559</v>
      </c>
      <c r="CO2" s="64" t="s">
        <v>699</v>
      </c>
      <c r="CP2" s="64" t="s">
        <v>605</v>
      </c>
      <c r="CQ2" s="64" t="s">
        <v>570</v>
      </c>
      <c r="CR2" s="64" t="s">
        <v>615</v>
      </c>
      <c r="CS2" s="64" t="s">
        <v>24</v>
      </c>
      <c r="CT2" s="64" t="s">
        <v>575</v>
      </c>
      <c r="CU2" s="64" t="s">
        <v>590</v>
      </c>
      <c r="CV2" s="64" t="s">
        <v>648</v>
      </c>
      <c r="CW2" s="64" t="s">
        <v>532</v>
      </c>
      <c r="CX2" s="64" t="s">
        <v>164</v>
      </c>
      <c r="CY2" s="64" t="s">
        <v>573</v>
      </c>
      <c r="CZ2" s="64" t="s">
        <v>616</v>
      </c>
      <c r="DA2" s="64" t="s">
        <v>531</v>
      </c>
      <c r="DB2" s="64" t="s">
        <v>715</v>
      </c>
      <c r="DC2" s="64" t="s">
        <v>725</v>
      </c>
      <c r="DD2" s="64" t="s">
        <v>726</v>
      </c>
      <c r="DE2" s="64" t="s">
        <v>591</v>
      </c>
      <c r="DF2" s="64" t="s">
        <v>702</v>
      </c>
      <c r="DG2" s="64" t="s">
        <v>637</v>
      </c>
      <c r="DH2" s="64" t="s">
        <v>566</v>
      </c>
      <c r="DI2" s="64" t="s">
        <v>722</v>
      </c>
      <c r="DJ2" s="64" t="s">
        <v>32</v>
      </c>
      <c r="DK2" s="64" t="s">
        <v>679</v>
      </c>
      <c r="DL2" s="64" t="s">
        <v>619</v>
      </c>
      <c r="DM2" s="64" t="s">
        <v>680</v>
      </c>
      <c r="DN2" s="64" t="s">
        <v>620</v>
      </c>
      <c r="DO2" s="64" t="s">
        <v>576</v>
      </c>
      <c r="DP2" s="64" t="s">
        <v>592</v>
      </c>
      <c r="DQ2" s="64" t="s">
        <v>681</v>
      </c>
      <c r="DR2" s="64" t="s">
        <v>537</v>
      </c>
      <c r="DS2" s="64" t="s">
        <v>692</v>
      </c>
      <c r="DT2" s="64" t="s">
        <v>28</v>
      </c>
      <c r="DU2" s="64" t="s">
        <v>600</v>
      </c>
      <c r="DV2" s="64" t="s">
        <v>710</v>
      </c>
      <c r="DW2" s="64" t="s">
        <v>718</v>
      </c>
      <c r="DX2" s="64" t="s">
        <v>719</v>
      </c>
      <c r="DY2" s="64" t="s">
        <v>538</v>
      </c>
      <c r="DZ2" s="64" t="s">
        <v>568</v>
      </c>
      <c r="EA2" s="64" t="s">
        <v>688</v>
      </c>
      <c r="EB2" s="64" t="s">
        <v>593</v>
      </c>
      <c r="EC2" s="64" t="s">
        <v>554</v>
      </c>
      <c r="ED2" s="64" t="s">
        <v>546</v>
      </c>
      <c r="EE2" s="64" t="s">
        <v>602</v>
      </c>
      <c r="EF2" s="64" t="s">
        <v>179</v>
      </c>
      <c r="EG2" s="64" t="s">
        <v>675</v>
      </c>
      <c r="EH2" s="64" t="s">
        <v>394</v>
      </c>
      <c r="EI2" s="64" t="s">
        <v>706</v>
      </c>
      <c r="EJ2" s="64" t="s">
        <v>711</v>
      </c>
      <c r="EK2" s="64" t="s">
        <v>26</v>
      </c>
      <c r="EL2" s="64" t="s">
        <v>682</v>
      </c>
      <c r="EM2" s="64" t="s">
        <v>27</v>
      </c>
      <c r="EN2" s="64" t="s">
        <v>552</v>
      </c>
      <c r="EO2" s="64" t="s">
        <v>611</v>
      </c>
      <c r="EP2" s="64" t="s">
        <v>606</v>
      </c>
      <c r="EQ2" s="64" t="s">
        <v>567</v>
      </c>
      <c r="ER2" s="64" t="s">
        <v>607</v>
      </c>
      <c r="ES2" s="64" t="s">
        <v>707</v>
      </c>
      <c r="ET2" s="64" t="s">
        <v>712</v>
      </c>
      <c r="EU2" s="64" t="s">
        <v>720</v>
      </c>
      <c r="EV2" s="64" t="s">
        <v>564</v>
      </c>
      <c r="EW2" s="64" t="s">
        <v>19</v>
      </c>
      <c r="EX2" s="64" t="s">
        <v>683</v>
      </c>
      <c r="EY2" s="64" t="s">
        <v>694</v>
      </c>
      <c r="EZ2" s="172"/>
      <c r="FA2" s="173"/>
      <c r="FB2" s="174"/>
      <c r="FC2" s="32" t="s">
        <v>550</v>
      </c>
      <c r="FD2" s="100" t="s">
        <v>462</v>
      </c>
      <c r="FE2" s="100" t="s">
        <v>390</v>
      </c>
      <c r="FF2" s="64" t="s">
        <v>717</v>
      </c>
      <c r="FG2" s="64" t="s">
        <v>643</v>
      </c>
      <c r="FH2" s="64" t="s">
        <v>608</v>
      </c>
      <c r="FI2" s="95" t="s">
        <v>569</v>
      </c>
      <c r="FJ2" s="64" t="s">
        <v>560</v>
      </c>
      <c r="FK2" s="95" t="s">
        <v>30</v>
      </c>
      <c r="FL2" s="64" t="s">
        <v>533</v>
      </c>
      <c r="FM2" s="64" t="s">
        <v>558</v>
      </c>
      <c r="FN2" s="95" t="s">
        <v>571</v>
      </c>
      <c r="FO2" s="95" t="s">
        <v>657</v>
      </c>
      <c r="FP2" s="64" t="s">
        <v>530</v>
      </c>
      <c r="FQ2" s="64" t="s">
        <v>595</v>
      </c>
      <c r="FR2" s="95" t="s">
        <v>578</v>
      </c>
      <c r="FS2" s="95" t="s">
        <v>579</v>
      </c>
      <c r="FT2" s="95" t="s">
        <v>580</v>
      </c>
      <c r="FU2" s="64" t="s">
        <v>561</v>
      </c>
      <c r="FV2" s="64" t="s">
        <v>647</v>
      </c>
      <c r="FW2" s="95" t="s">
        <v>581</v>
      </c>
      <c r="FX2" s="64" t="s">
        <v>534</v>
      </c>
      <c r="FY2" s="64" t="s">
        <v>545</v>
      </c>
      <c r="FZ2" s="64" t="s">
        <v>544</v>
      </c>
      <c r="GA2" s="64" t="s">
        <v>662</v>
      </c>
      <c r="GB2" s="95" t="s">
        <v>582</v>
      </c>
      <c r="GC2" s="64" t="s">
        <v>539</v>
      </c>
      <c r="GD2" s="64" t="s">
        <v>649</v>
      </c>
      <c r="GE2" s="64" t="s">
        <v>562</v>
      </c>
      <c r="GF2" s="64" t="s">
        <v>644</v>
      </c>
      <c r="GG2" s="64" t="s">
        <v>640</v>
      </c>
      <c r="GH2" s="64" t="s">
        <v>180</v>
      </c>
      <c r="GI2" s="64" t="s">
        <v>565</v>
      </c>
      <c r="GJ2" s="64" t="s">
        <v>563</v>
      </c>
      <c r="GK2" s="95" t="s">
        <v>583</v>
      </c>
      <c r="GL2" s="95" t="s">
        <v>584</v>
      </c>
      <c r="GM2" s="95" t="s">
        <v>585</v>
      </c>
      <c r="GN2" s="95" t="s">
        <v>586</v>
      </c>
      <c r="GO2" s="95" t="s">
        <v>587</v>
      </c>
      <c r="GP2" s="95" t="s">
        <v>574</v>
      </c>
      <c r="GQ2" s="64" t="s">
        <v>556</v>
      </c>
      <c r="GR2" s="64" t="s">
        <v>614</v>
      </c>
      <c r="GS2" s="64" t="s">
        <v>634</v>
      </c>
      <c r="GT2" s="64" t="s">
        <v>716</v>
      </c>
      <c r="GU2" s="95" t="s">
        <v>572</v>
      </c>
      <c r="GV2" s="95" t="s">
        <v>588</v>
      </c>
      <c r="GW2" s="64" t="s">
        <v>557</v>
      </c>
      <c r="GX2" s="64" t="s">
        <v>541</v>
      </c>
      <c r="GY2" s="64" t="s">
        <v>535</v>
      </c>
      <c r="GZ2" s="64" t="s">
        <v>596</v>
      </c>
      <c r="HA2" s="64" t="s">
        <v>551</v>
      </c>
      <c r="HB2" s="64" t="s">
        <v>636</v>
      </c>
      <c r="HC2" s="64" t="s">
        <v>540</v>
      </c>
      <c r="HD2" s="64" t="s">
        <v>553</v>
      </c>
      <c r="HE2" s="64" t="s">
        <v>547</v>
      </c>
      <c r="HF2" s="64" t="s">
        <v>543</v>
      </c>
      <c r="HG2" s="64" t="s">
        <v>555</v>
      </c>
      <c r="HH2" s="64" t="s">
        <v>721</v>
      </c>
      <c r="HI2" s="95" t="s">
        <v>589</v>
      </c>
      <c r="HJ2" s="95" t="s">
        <v>641</v>
      </c>
      <c r="HK2" s="64" t="s">
        <v>559</v>
      </c>
      <c r="HL2" s="95" t="s">
        <v>570</v>
      </c>
      <c r="HM2" s="95" t="s">
        <v>24</v>
      </c>
      <c r="HN2" s="95" t="s">
        <v>575</v>
      </c>
      <c r="HO2" s="95" t="s">
        <v>536</v>
      </c>
      <c r="HP2" s="95" t="s">
        <v>590</v>
      </c>
      <c r="HQ2" s="64" t="s">
        <v>532</v>
      </c>
      <c r="HR2" s="95" t="s">
        <v>573</v>
      </c>
      <c r="HS2" s="64" t="s">
        <v>531</v>
      </c>
      <c r="HT2" s="64" t="s">
        <v>691</v>
      </c>
      <c r="HU2" s="64" t="s">
        <v>723</v>
      </c>
      <c r="HV2" s="64" t="s">
        <v>724</v>
      </c>
      <c r="HW2" s="95" t="s">
        <v>591</v>
      </c>
      <c r="HX2" s="95" t="s">
        <v>637</v>
      </c>
      <c r="HY2" s="64" t="s">
        <v>566</v>
      </c>
      <c r="HZ2" s="64" t="s">
        <v>722</v>
      </c>
      <c r="IA2" s="64" t="s">
        <v>620</v>
      </c>
      <c r="IB2" s="64" t="s">
        <v>32</v>
      </c>
      <c r="IC2" s="64" t="s">
        <v>619</v>
      </c>
      <c r="ID2" s="95" t="s">
        <v>576</v>
      </c>
      <c r="IE2" s="95" t="s">
        <v>592</v>
      </c>
      <c r="IF2" s="64" t="s">
        <v>537</v>
      </c>
      <c r="IG2" s="64" t="s">
        <v>28</v>
      </c>
      <c r="IH2" s="64" t="s">
        <v>642</v>
      </c>
      <c r="II2" s="64" t="s">
        <v>633</v>
      </c>
      <c r="IJ2" s="64" t="s">
        <v>635</v>
      </c>
      <c r="IK2" s="64" t="s">
        <v>718</v>
      </c>
      <c r="IL2" s="64" t="s">
        <v>719</v>
      </c>
      <c r="IM2" s="64" t="s">
        <v>538</v>
      </c>
      <c r="IN2" s="95" t="s">
        <v>568</v>
      </c>
      <c r="IO2" s="95" t="s">
        <v>593</v>
      </c>
      <c r="IP2" s="95" t="s">
        <v>542</v>
      </c>
      <c r="IQ2" s="64" t="s">
        <v>554</v>
      </c>
      <c r="IR2" s="64" t="s">
        <v>546</v>
      </c>
      <c r="IS2" s="95" t="s">
        <v>179</v>
      </c>
      <c r="IT2" s="64" t="s">
        <v>552</v>
      </c>
      <c r="IU2" s="64" t="s">
        <v>567</v>
      </c>
      <c r="IV2" s="64" t="s">
        <v>720</v>
      </c>
      <c r="IW2" s="64" t="s">
        <v>564</v>
      </c>
      <c r="IX2" s="95" t="s">
        <v>394</v>
      </c>
      <c r="IY2" s="64" t="s">
        <v>26</v>
      </c>
      <c r="IZ2" s="95" t="s">
        <v>27</v>
      </c>
      <c r="JA2" s="64" t="s">
        <v>19</v>
      </c>
    </row>
    <row r="3" spans="1:261" ht="28.5" customHeight="1">
      <c r="A3" s="1">
        <v>6</v>
      </c>
      <c r="B3" s="107" t="s">
        <v>659</v>
      </c>
      <c r="C3" s="65" t="s">
        <v>743</v>
      </c>
      <c r="D3" s="50" t="s">
        <v>549</v>
      </c>
      <c r="E3" s="2" t="s">
        <v>384</v>
      </c>
      <c r="F3" s="2" t="s">
        <v>385</v>
      </c>
      <c r="G3" s="65">
        <v>66</v>
      </c>
      <c r="H3" s="65">
        <v>66</v>
      </c>
      <c r="J3" s="65">
        <v>37</v>
      </c>
      <c r="K3" s="65">
        <v>29</v>
      </c>
      <c r="L3" s="65">
        <v>66</v>
      </c>
      <c r="M3" s="65">
        <v>66</v>
      </c>
      <c r="Q3" s="65" t="s">
        <v>743</v>
      </c>
      <c r="R3" s="68"/>
      <c r="S3" s="68"/>
      <c r="T3" s="68"/>
      <c r="U3" s="68"/>
      <c r="V3" s="68"/>
      <c r="W3" s="68"/>
      <c r="X3" s="68"/>
      <c r="Y3" s="68">
        <v>5</v>
      </c>
      <c r="Z3" s="68">
        <v>4</v>
      </c>
      <c r="AA3" s="68"/>
      <c r="AB3" s="68"/>
      <c r="AC3" s="68"/>
      <c r="AD3" s="68"/>
      <c r="AE3" s="68"/>
      <c r="AF3" s="68">
        <v>18</v>
      </c>
      <c r="AG3" s="68">
        <v>16</v>
      </c>
      <c r="AH3" s="68"/>
      <c r="AI3" s="68"/>
      <c r="AJ3" s="68"/>
      <c r="AK3" s="68"/>
      <c r="AL3" s="68"/>
      <c r="AM3" s="68"/>
      <c r="AN3" s="68"/>
      <c r="AO3" s="68"/>
      <c r="AP3" s="68">
        <v>1</v>
      </c>
      <c r="AQ3" s="68"/>
      <c r="AR3" s="68"/>
      <c r="AS3" s="68"/>
      <c r="AT3" s="68"/>
      <c r="AU3" s="68"/>
      <c r="AV3" s="68"/>
      <c r="AW3" s="68"/>
      <c r="AX3" s="68"/>
      <c r="AY3" s="68"/>
      <c r="AZ3" s="68"/>
      <c r="BA3" s="68"/>
      <c r="BB3" s="68">
        <v>3</v>
      </c>
      <c r="BC3" s="68"/>
      <c r="BD3" s="68"/>
      <c r="BE3" s="68"/>
      <c r="BF3" s="68"/>
      <c r="BG3" s="68"/>
      <c r="BH3" s="68"/>
      <c r="BI3" s="68"/>
      <c r="BJ3" s="68"/>
      <c r="BK3" s="68"/>
      <c r="BL3" s="68"/>
      <c r="BM3" s="68"/>
      <c r="BN3" s="68"/>
      <c r="BO3" s="68"/>
      <c r="BP3" s="68">
        <v>4</v>
      </c>
      <c r="BQ3" s="68"/>
      <c r="BR3" s="68"/>
      <c r="BS3" s="68"/>
      <c r="BT3" s="68"/>
      <c r="BU3" s="68"/>
      <c r="BV3" s="68"/>
      <c r="BW3" s="68"/>
      <c r="BX3" s="68"/>
      <c r="BY3" s="68"/>
      <c r="BZ3" s="68"/>
      <c r="CA3" s="68"/>
      <c r="CB3" s="68"/>
      <c r="CC3" s="68"/>
      <c r="CD3" s="68"/>
      <c r="CE3" s="68"/>
      <c r="CF3" s="68">
        <v>13</v>
      </c>
      <c r="CG3" s="68"/>
      <c r="CH3" s="68">
        <v>6</v>
      </c>
      <c r="CI3" s="68">
        <v>2</v>
      </c>
      <c r="CJ3" s="68"/>
      <c r="CK3" s="68"/>
      <c r="CL3" s="68"/>
      <c r="CM3" s="68"/>
      <c r="CN3" s="68"/>
      <c r="CO3" s="68"/>
      <c r="CP3" s="68"/>
      <c r="CQ3" s="68"/>
      <c r="CR3" s="68"/>
      <c r="CS3" s="68"/>
      <c r="CT3" s="68"/>
      <c r="CU3" s="68"/>
      <c r="CV3" s="68"/>
      <c r="CW3" s="68">
        <v>6</v>
      </c>
      <c r="CX3" s="68">
        <v>3</v>
      </c>
      <c r="CY3" s="68"/>
      <c r="CZ3" s="68"/>
      <c r="DA3" s="68">
        <v>7</v>
      </c>
      <c r="DB3" s="68"/>
      <c r="DC3" s="68"/>
      <c r="DD3" s="68"/>
      <c r="DE3" s="68"/>
      <c r="DF3" s="68"/>
      <c r="DG3" s="68"/>
      <c r="DH3" s="68"/>
      <c r="DI3" s="68"/>
      <c r="DJ3" s="68"/>
      <c r="DK3" s="68"/>
      <c r="DL3" s="68"/>
      <c r="DM3" s="68"/>
      <c r="DN3" s="68"/>
      <c r="DO3" s="68"/>
      <c r="DP3" s="68"/>
      <c r="DQ3" s="68"/>
      <c r="DR3" s="68"/>
      <c r="DS3" s="68"/>
      <c r="DT3" s="68"/>
      <c r="DU3" s="68"/>
      <c r="DV3" s="68"/>
      <c r="DW3" s="68"/>
      <c r="DX3" s="68"/>
      <c r="DY3" s="68"/>
      <c r="DZ3" s="68"/>
      <c r="EA3" s="68"/>
      <c r="EB3" s="68"/>
      <c r="EC3" s="68"/>
      <c r="ED3" s="68"/>
      <c r="EE3" s="68"/>
      <c r="EF3" s="68"/>
      <c r="EG3" s="68"/>
      <c r="EH3" s="68"/>
      <c r="EI3" s="68"/>
      <c r="EJ3" s="68"/>
      <c r="EK3" s="68">
        <v>4</v>
      </c>
      <c r="EL3" s="68"/>
      <c r="EM3" s="68"/>
      <c r="EN3" s="68"/>
      <c r="EO3" s="68"/>
      <c r="EP3" s="68"/>
      <c r="EQ3" s="68"/>
      <c r="ER3" s="68"/>
      <c r="ES3" s="68"/>
      <c r="ET3" s="68"/>
      <c r="EU3" s="68"/>
      <c r="EV3" s="68"/>
      <c r="EW3" s="68"/>
      <c r="EX3" s="68"/>
      <c r="EY3" s="68"/>
      <c r="EZ3" s="68"/>
      <c r="FA3" s="68"/>
      <c r="FB3" s="68"/>
      <c r="FC3" s="68"/>
      <c r="FD3" s="68"/>
      <c r="FE3" s="68"/>
      <c r="FF3" s="68"/>
      <c r="FG3" s="68"/>
      <c r="FH3" s="68"/>
      <c r="FI3" s="96"/>
      <c r="FJ3" s="68"/>
      <c r="FK3" s="96"/>
      <c r="FL3" s="68"/>
      <c r="FM3" s="68"/>
      <c r="FN3" s="96"/>
      <c r="FO3" s="96"/>
      <c r="FP3" s="68"/>
      <c r="FQ3" s="68"/>
      <c r="FR3" s="96"/>
      <c r="FS3" s="96"/>
      <c r="FT3" s="96"/>
      <c r="FU3" s="68"/>
      <c r="FV3" s="68"/>
      <c r="FW3" s="96"/>
      <c r="FX3" s="68"/>
      <c r="FY3" s="68"/>
      <c r="FZ3" s="68"/>
      <c r="GA3" s="68"/>
      <c r="GB3" s="96"/>
      <c r="GC3" s="68"/>
      <c r="GD3" s="68"/>
      <c r="GE3" s="68"/>
      <c r="GF3" s="68"/>
      <c r="GG3" s="68"/>
      <c r="GH3" s="68"/>
      <c r="GI3" s="68"/>
      <c r="GJ3" s="68"/>
      <c r="GK3" s="96"/>
      <c r="GL3" s="96"/>
      <c r="GM3" s="96"/>
      <c r="GN3" s="96"/>
      <c r="GO3" s="96"/>
      <c r="GP3" s="96"/>
      <c r="GQ3" s="68"/>
      <c r="GR3" s="68"/>
      <c r="GS3" s="68"/>
      <c r="GT3" s="68"/>
      <c r="GU3" s="96"/>
      <c r="GV3" s="96"/>
      <c r="GW3" s="68"/>
      <c r="GX3" s="68"/>
      <c r="GY3" s="68"/>
      <c r="GZ3" s="68"/>
      <c r="HA3" s="68"/>
      <c r="HB3" s="68"/>
      <c r="HC3" s="68"/>
      <c r="HD3" s="68"/>
      <c r="HE3" s="68"/>
      <c r="HF3" s="68"/>
      <c r="HG3" s="68"/>
      <c r="HH3" s="68"/>
      <c r="HI3" s="96"/>
      <c r="HJ3" s="96"/>
      <c r="HK3" s="68"/>
      <c r="HL3" s="96"/>
      <c r="HM3" s="96"/>
      <c r="HN3" s="96"/>
      <c r="HO3" s="96"/>
      <c r="HP3" s="96"/>
      <c r="HQ3" s="68"/>
      <c r="HR3" s="96"/>
      <c r="HS3" s="68"/>
      <c r="HT3" s="68"/>
      <c r="HU3" s="68"/>
      <c r="HV3" s="68"/>
      <c r="HW3" s="96"/>
      <c r="HX3" s="96"/>
      <c r="HY3" s="68"/>
      <c r="HZ3" s="68"/>
      <c r="IA3" s="68"/>
      <c r="IB3" s="68"/>
      <c r="IC3" s="68"/>
      <c r="ID3" s="96"/>
      <c r="IE3" s="96"/>
      <c r="IF3" s="68"/>
      <c r="IG3" s="68"/>
      <c r="IH3" s="68"/>
      <c r="II3" s="68"/>
      <c r="IJ3" s="68"/>
      <c r="IK3" s="68"/>
      <c r="IL3" s="68"/>
      <c r="IM3" s="68"/>
      <c r="IN3" s="96"/>
      <c r="IO3" s="96"/>
      <c r="IP3" s="96"/>
      <c r="IQ3" s="68"/>
      <c r="IR3" s="68"/>
      <c r="IS3" s="96"/>
      <c r="IT3" s="68"/>
      <c r="IU3" s="68"/>
      <c r="IV3" s="68"/>
      <c r="IW3" s="68"/>
      <c r="IX3" s="96"/>
      <c r="IY3" s="68"/>
      <c r="IZ3" s="96"/>
      <c r="JA3" s="68"/>
    </row>
    <row r="4" spans="1:261" ht="28.5" customHeight="1">
      <c r="A4" s="1">
        <v>8</v>
      </c>
      <c r="B4" s="108" t="s">
        <v>658</v>
      </c>
      <c r="C4" s="108" t="s">
        <v>389</v>
      </c>
      <c r="D4" s="50" t="s">
        <v>549</v>
      </c>
      <c r="E4" s="2" t="s">
        <v>385</v>
      </c>
      <c r="F4" s="2" t="s">
        <v>385</v>
      </c>
      <c r="G4" s="65">
        <v>22</v>
      </c>
      <c r="H4" s="65">
        <v>27</v>
      </c>
      <c r="J4" s="65">
        <v>16</v>
      </c>
      <c r="K4" s="65">
        <v>11</v>
      </c>
      <c r="L4" s="65">
        <v>22</v>
      </c>
      <c r="M4" s="65">
        <v>22</v>
      </c>
      <c r="Q4" s="2" t="s">
        <v>743</v>
      </c>
      <c r="R4" s="68">
        <v>2</v>
      </c>
      <c r="S4" s="68"/>
      <c r="T4" s="68"/>
      <c r="U4" s="68"/>
      <c r="V4" s="68"/>
      <c r="W4" s="68"/>
      <c r="X4" s="68"/>
      <c r="Y4" s="68">
        <v>1</v>
      </c>
      <c r="Z4" s="68"/>
      <c r="AA4" s="68"/>
      <c r="AB4" s="68"/>
      <c r="AC4" s="68"/>
      <c r="AD4" s="68"/>
      <c r="AE4" s="68"/>
      <c r="AF4" s="68">
        <v>7</v>
      </c>
      <c r="AG4" s="68"/>
      <c r="AH4" s="68"/>
      <c r="AI4" s="68"/>
      <c r="AJ4" s="68"/>
      <c r="AK4" s="68"/>
      <c r="AL4" s="68">
        <v>1</v>
      </c>
      <c r="AM4" s="68"/>
      <c r="AN4" s="68"/>
      <c r="AO4" s="68"/>
      <c r="AP4" s="68"/>
      <c r="AQ4" s="68"/>
      <c r="AR4" s="68"/>
      <c r="AS4" s="68"/>
      <c r="AT4" s="68">
        <v>1</v>
      </c>
      <c r="AU4" s="68"/>
      <c r="AV4" s="68"/>
      <c r="AW4" s="68"/>
      <c r="AX4" s="68"/>
      <c r="AY4" s="68"/>
      <c r="AZ4" s="68"/>
      <c r="BA4" s="68"/>
      <c r="BB4" s="68">
        <v>2</v>
      </c>
      <c r="BC4" s="68"/>
      <c r="BD4" s="68"/>
      <c r="BE4" s="68"/>
      <c r="BF4" s="68"/>
      <c r="BG4" s="68"/>
      <c r="BH4" s="68">
        <v>1</v>
      </c>
      <c r="BI4" s="68">
        <v>1</v>
      </c>
      <c r="BJ4" s="68"/>
      <c r="BK4" s="68"/>
      <c r="BL4" s="68"/>
      <c r="BM4" s="68"/>
      <c r="BN4" s="68">
        <v>2</v>
      </c>
      <c r="BO4" s="68"/>
      <c r="BP4" s="68"/>
      <c r="BQ4" s="68"/>
      <c r="BR4" s="68"/>
      <c r="BS4" s="68"/>
      <c r="BT4" s="68"/>
      <c r="BU4" s="68"/>
      <c r="BV4" s="68">
        <v>3</v>
      </c>
      <c r="BW4" s="68">
        <v>1</v>
      </c>
      <c r="BX4" s="68"/>
      <c r="BY4" s="68"/>
      <c r="BZ4" s="68"/>
      <c r="CA4" s="68"/>
      <c r="CB4" s="68"/>
      <c r="CC4" s="68"/>
      <c r="CD4" s="68"/>
      <c r="CE4" s="68"/>
      <c r="CF4" s="68">
        <v>2</v>
      </c>
      <c r="CG4" s="68"/>
      <c r="CH4" s="68">
        <v>2</v>
      </c>
      <c r="CI4" s="68">
        <v>1</v>
      </c>
      <c r="CJ4" s="68">
        <v>1</v>
      </c>
      <c r="CK4" s="68"/>
      <c r="CL4" s="68">
        <v>1</v>
      </c>
      <c r="CM4" s="68"/>
      <c r="CN4" s="68">
        <v>1</v>
      </c>
      <c r="CO4" s="68"/>
      <c r="CP4" s="68"/>
      <c r="CQ4" s="68">
        <v>1</v>
      </c>
      <c r="CR4" s="68"/>
      <c r="CS4" s="68">
        <v>1</v>
      </c>
      <c r="CT4" s="68">
        <v>1</v>
      </c>
      <c r="CU4" s="68"/>
      <c r="CV4" s="68"/>
      <c r="CW4" s="68">
        <v>3</v>
      </c>
      <c r="CX4" s="68"/>
      <c r="CY4" s="68">
        <v>1</v>
      </c>
      <c r="CZ4" s="68"/>
      <c r="DA4" s="68">
        <v>2</v>
      </c>
      <c r="DB4" s="68"/>
      <c r="DC4" s="68"/>
      <c r="DD4" s="68"/>
      <c r="DE4" s="68">
        <v>1</v>
      </c>
      <c r="DF4" s="68"/>
      <c r="DG4" s="68"/>
      <c r="DH4" s="68"/>
      <c r="DI4" s="68"/>
      <c r="DJ4" s="68">
        <v>1</v>
      </c>
      <c r="DK4" s="68"/>
      <c r="DL4" s="68"/>
      <c r="DM4" s="68"/>
      <c r="DN4" s="68"/>
      <c r="DO4" s="68">
        <v>1</v>
      </c>
      <c r="DP4" s="68"/>
      <c r="DQ4" s="68"/>
      <c r="DR4" s="68"/>
      <c r="DS4" s="68"/>
      <c r="DT4" s="68"/>
      <c r="DU4" s="68"/>
      <c r="DV4" s="68"/>
      <c r="DW4" s="68"/>
      <c r="DX4" s="68"/>
      <c r="DY4" s="68"/>
      <c r="DZ4" s="68">
        <v>2</v>
      </c>
      <c r="EA4" s="68"/>
      <c r="EB4" s="68"/>
      <c r="EC4" s="68"/>
      <c r="ED4" s="68">
        <v>1</v>
      </c>
      <c r="EE4" s="68"/>
      <c r="EF4" s="68"/>
      <c r="EG4" s="68"/>
      <c r="EH4" s="68">
        <v>2</v>
      </c>
      <c r="EI4" s="68"/>
      <c r="EJ4" s="68"/>
      <c r="EK4" s="68"/>
      <c r="EL4" s="68"/>
      <c r="EM4" s="68">
        <v>1</v>
      </c>
      <c r="EN4" s="68"/>
      <c r="EO4" s="68"/>
      <c r="EP4" s="68"/>
      <c r="EQ4" s="68"/>
      <c r="ER4" s="68"/>
      <c r="ES4" s="68"/>
      <c r="ET4" s="68"/>
      <c r="EU4" s="68"/>
      <c r="EV4" s="68"/>
      <c r="EW4" s="68"/>
      <c r="EX4" s="68"/>
      <c r="EY4" s="68"/>
      <c r="EZ4" s="68" t="s">
        <v>743</v>
      </c>
      <c r="FA4" s="68" t="s">
        <v>549</v>
      </c>
      <c r="FB4" s="68" t="s">
        <v>385</v>
      </c>
      <c r="FC4" s="68" t="s">
        <v>625</v>
      </c>
      <c r="FD4" s="68">
        <v>17</v>
      </c>
      <c r="FE4" s="68">
        <v>17</v>
      </c>
      <c r="FF4" s="68"/>
      <c r="FG4" s="68"/>
      <c r="FH4" s="68"/>
      <c r="FI4" s="69">
        <v>2</v>
      </c>
      <c r="FJ4" s="68"/>
      <c r="FK4" s="69"/>
      <c r="FL4" s="68"/>
      <c r="FM4" s="68"/>
      <c r="FN4" s="69"/>
      <c r="FO4" s="69">
        <v>1</v>
      </c>
      <c r="FP4" s="69">
        <v>5</v>
      </c>
      <c r="FQ4" s="69"/>
      <c r="FR4" s="69">
        <v>1</v>
      </c>
      <c r="FS4" s="69">
        <v>1</v>
      </c>
      <c r="FT4" s="69"/>
      <c r="FU4" s="68"/>
      <c r="FV4" s="68"/>
      <c r="FW4" s="69"/>
      <c r="FX4" s="68"/>
      <c r="FY4" s="68"/>
      <c r="FZ4" s="69">
        <v>2</v>
      </c>
      <c r="GA4" s="69"/>
      <c r="GB4" s="69"/>
      <c r="GC4" s="68"/>
      <c r="GD4" s="68"/>
      <c r="GE4" s="68"/>
      <c r="GF4" s="68"/>
      <c r="GG4" s="68"/>
      <c r="GH4" s="68"/>
      <c r="GI4" s="69"/>
      <c r="GJ4" s="68"/>
      <c r="GK4" s="69">
        <v>1</v>
      </c>
      <c r="GL4" s="69">
        <v>1</v>
      </c>
      <c r="GM4" s="69"/>
      <c r="GN4" s="69"/>
      <c r="GO4" s="69">
        <v>1</v>
      </c>
      <c r="GP4" s="69"/>
      <c r="GQ4" s="68"/>
      <c r="GR4" s="68"/>
      <c r="GS4" s="68"/>
      <c r="GT4" s="68"/>
      <c r="GU4" s="69"/>
      <c r="GV4" s="69"/>
      <c r="GW4" s="68"/>
      <c r="GX4" s="68"/>
      <c r="GY4" s="68"/>
      <c r="GZ4" s="68"/>
      <c r="HA4" s="68"/>
      <c r="HB4" s="68"/>
      <c r="HC4" s="68"/>
      <c r="HD4" s="69">
        <v>3</v>
      </c>
      <c r="HE4" s="69"/>
      <c r="HF4" s="69">
        <v>1</v>
      </c>
      <c r="HG4" s="69"/>
      <c r="HH4" s="69"/>
      <c r="HI4" s="69"/>
      <c r="HJ4" s="69"/>
      <c r="HK4" s="69"/>
      <c r="HL4" s="69">
        <v>3</v>
      </c>
      <c r="HM4" s="69"/>
      <c r="HN4" s="69">
        <v>1</v>
      </c>
      <c r="HO4" s="69"/>
      <c r="HP4" s="69">
        <v>1</v>
      </c>
      <c r="HQ4" s="69">
        <v>1</v>
      </c>
      <c r="HR4" s="69">
        <v>1</v>
      </c>
      <c r="HS4" s="69">
        <v>2</v>
      </c>
      <c r="HT4" s="69"/>
      <c r="HU4" s="69">
        <v>1</v>
      </c>
      <c r="HV4" s="69">
        <v>1</v>
      </c>
      <c r="HW4" s="69"/>
      <c r="HX4" s="69"/>
      <c r="HY4" s="68"/>
      <c r="HZ4" s="68"/>
      <c r="IA4" s="68"/>
      <c r="IB4" s="69">
        <v>1</v>
      </c>
      <c r="IC4" s="69"/>
      <c r="ID4" s="69">
        <v>1</v>
      </c>
      <c r="IE4" s="69"/>
      <c r="IF4" s="68"/>
      <c r="IG4" s="68"/>
      <c r="IH4" s="68"/>
      <c r="II4" s="68"/>
      <c r="IJ4" s="68"/>
      <c r="IK4" s="68"/>
      <c r="IL4" s="68"/>
      <c r="IM4" s="68"/>
      <c r="IN4" s="69">
        <v>3</v>
      </c>
      <c r="IO4" s="69">
        <v>1</v>
      </c>
      <c r="IP4" s="69"/>
      <c r="IQ4" s="68"/>
      <c r="IR4" s="69"/>
      <c r="IS4" s="69">
        <v>2</v>
      </c>
      <c r="IT4" s="68"/>
      <c r="IU4" s="68"/>
      <c r="IV4" s="68"/>
      <c r="IW4" s="68"/>
      <c r="IX4" s="69">
        <v>3</v>
      </c>
      <c r="IY4" s="69">
        <v>1</v>
      </c>
      <c r="IZ4" s="69"/>
      <c r="JA4" s="68"/>
    </row>
    <row r="5" spans="1:261" ht="28.5" customHeight="1">
      <c r="A5" s="1">
        <v>9</v>
      </c>
      <c r="B5" s="205" t="s">
        <v>744</v>
      </c>
      <c r="C5" s="109" t="s">
        <v>655</v>
      </c>
      <c r="D5" s="50" t="s">
        <v>549</v>
      </c>
      <c r="E5" s="2" t="s">
        <v>384</v>
      </c>
      <c r="F5" s="2" t="s">
        <v>385</v>
      </c>
      <c r="G5" s="65">
        <v>47</v>
      </c>
      <c r="H5" s="65">
        <v>47</v>
      </c>
      <c r="I5" s="65">
        <v>67</v>
      </c>
      <c r="J5" s="65">
        <v>19</v>
      </c>
      <c r="K5" s="65">
        <v>28</v>
      </c>
      <c r="L5" s="65">
        <v>47</v>
      </c>
      <c r="M5" s="65">
        <v>47</v>
      </c>
      <c r="Q5" s="161" t="s">
        <v>617</v>
      </c>
      <c r="R5" s="68"/>
      <c r="S5" s="68"/>
      <c r="T5" s="68"/>
      <c r="U5" s="68"/>
      <c r="V5" s="68"/>
      <c r="W5" s="68"/>
      <c r="X5" s="68"/>
      <c r="Y5" s="68"/>
      <c r="Z5" s="68"/>
      <c r="AA5" s="68"/>
      <c r="AB5" s="68"/>
      <c r="AC5" s="68"/>
      <c r="AD5" s="68"/>
      <c r="AE5" s="68"/>
      <c r="AF5" s="68">
        <v>10</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68"/>
      <c r="BK5" s="68"/>
      <c r="BL5" s="68"/>
      <c r="BM5" s="68"/>
      <c r="BN5" s="68"/>
      <c r="BO5" s="68"/>
      <c r="BP5" s="68"/>
      <c r="BQ5" s="68"/>
      <c r="BR5" s="68"/>
      <c r="BS5" s="68"/>
      <c r="BT5" s="68"/>
      <c r="BU5" s="68"/>
      <c r="BV5" s="68"/>
      <c r="BW5" s="68"/>
      <c r="BX5" s="68"/>
      <c r="BY5" s="68"/>
      <c r="BZ5" s="68"/>
      <c r="CA5" s="68"/>
      <c r="CB5" s="68"/>
      <c r="CC5" s="68"/>
      <c r="CD5" s="68"/>
      <c r="CE5" s="68"/>
      <c r="CF5" s="68"/>
      <c r="CG5" s="68"/>
      <c r="CH5" s="68"/>
      <c r="CI5" s="68"/>
      <c r="CJ5" s="68"/>
      <c r="CK5" s="68"/>
      <c r="CL5" s="68"/>
      <c r="CM5" s="68"/>
      <c r="CN5" s="68"/>
      <c r="CO5" s="68"/>
      <c r="CP5" s="68"/>
      <c r="CQ5" s="68"/>
      <c r="CR5" s="68"/>
      <c r="CS5" s="68"/>
      <c r="CT5" s="68"/>
      <c r="CU5" s="68"/>
      <c r="CV5" s="68"/>
      <c r="CW5" s="68"/>
      <c r="CX5" s="68"/>
      <c r="CY5" s="68"/>
      <c r="CZ5" s="68"/>
      <c r="DA5" s="68">
        <v>6</v>
      </c>
      <c r="DB5" s="68"/>
      <c r="DC5" s="68"/>
      <c r="DD5" s="68"/>
      <c r="DE5" s="68"/>
      <c r="DF5" s="68"/>
      <c r="DG5" s="68"/>
      <c r="DH5" s="68"/>
      <c r="DI5" s="68"/>
      <c r="DJ5" s="68"/>
      <c r="DK5" s="68"/>
      <c r="DL5" s="68"/>
      <c r="DM5" s="68"/>
      <c r="DN5" s="68"/>
      <c r="DO5" s="68"/>
      <c r="DP5" s="68"/>
      <c r="DQ5" s="68"/>
      <c r="DR5" s="68"/>
      <c r="DS5" s="68"/>
      <c r="DT5" s="68"/>
      <c r="DU5" s="68"/>
      <c r="DV5" s="68"/>
      <c r="DW5" s="68"/>
      <c r="DX5" s="68"/>
      <c r="DY5" s="68"/>
      <c r="DZ5" s="68"/>
      <c r="EA5" s="68"/>
      <c r="EB5" s="68"/>
      <c r="EC5" s="68"/>
      <c r="ED5" s="68"/>
      <c r="EE5" s="68"/>
      <c r="EF5" s="68"/>
      <c r="EG5" s="68"/>
      <c r="EH5" s="68"/>
      <c r="EI5" s="68"/>
      <c r="EJ5" s="68"/>
      <c r="EK5" s="68"/>
      <c r="EL5" s="68"/>
      <c r="EM5" s="68"/>
      <c r="EN5" s="68"/>
      <c r="EO5" s="68"/>
      <c r="EP5" s="68"/>
      <c r="EQ5" s="68"/>
      <c r="ER5" s="68"/>
      <c r="ES5" s="68"/>
      <c r="ET5" s="68"/>
      <c r="EU5" s="68"/>
      <c r="EV5" s="68"/>
      <c r="EW5" s="68"/>
      <c r="EX5" s="68"/>
      <c r="EY5" s="68"/>
      <c r="EZ5" s="68"/>
      <c r="FA5" s="68"/>
      <c r="FB5" s="68"/>
      <c r="FC5" s="68"/>
      <c r="FD5" s="68"/>
      <c r="FE5" s="68"/>
      <c r="FF5" s="68"/>
      <c r="FG5" s="68"/>
      <c r="FH5" s="68"/>
      <c r="FI5" s="69"/>
      <c r="FJ5" s="68"/>
      <c r="FK5" s="69"/>
      <c r="FL5" s="68"/>
      <c r="FM5" s="68"/>
      <c r="FN5" s="69"/>
      <c r="FO5" s="69"/>
      <c r="FP5" s="69"/>
      <c r="FQ5" s="69"/>
      <c r="FR5" s="69"/>
      <c r="FS5" s="69"/>
      <c r="FT5" s="69"/>
      <c r="FU5" s="68"/>
      <c r="FV5" s="68"/>
      <c r="FW5" s="69"/>
      <c r="FX5" s="68"/>
      <c r="FY5" s="68"/>
      <c r="FZ5" s="69"/>
      <c r="GA5" s="69"/>
      <c r="GB5" s="69"/>
      <c r="GC5" s="68"/>
      <c r="GD5" s="68"/>
      <c r="GE5" s="68"/>
      <c r="GF5" s="68"/>
      <c r="GG5" s="68"/>
      <c r="GH5" s="68"/>
      <c r="GI5" s="69"/>
      <c r="GJ5" s="68"/>
      <c r="GK5" s="69"/>
      <c r="GL5" s="69"/>
      <c r="GM5" s="69"/>
      <c r="GN5" s="69"/>
      <c r="GO5" s="69"/>
      <c r="GP5" s="69"/>
      <c r="GQ5" s="68"/>
      <c r="GR5" s="68"/>
      <c r="GS5" s="68"/>
      <c r="GT5" s="68"/>
      <c r="GU5" s="69"/>
      <c r="GV5" s="69"/>
      <c r="GW5" s="68"/>
      <c r="GX5" s="68"/>
      <c r="GY5" s="68"/>
      <c r="GZ5" s="68"/>
      <c r="HA5" s="68"/>
      <c r="HB5" s="68"/>
      <c r="HC5" s="68"/>
      <c r="HD5" s="69"/>
      <c r="HE5" s="69"/>
      <c r="HF5" s="69"/>
      <c r="HG5" s="69"/>
      <c r="HH5" s="69"/>
      <c r="HI5" s="69"/>
      <c r="HJ5" s="69"/>
      <c r="HK5" s="69"/>
      <c r="HL5" s="69"/>
      <c r="HM5" s="69"/>
      <c r="HN5" s="69"/>
      <c r="HO5" s="69"/>
      <c r="HP5" s="69"/>
      <c r="HQ5" s="69"/>
      <c r="HR5" s="69"/>
      <c r="HS5" s="69"/>
      <c r="HT5" s="69"/>
      <c r="HU5" s="69"/>
      <c r="HV5" s="69"/>
      <c r="HW5" s="69"/>
      <c r="HX5" s="69"/>
      <c r="HY5" s="68"/>
      <c r="HZ5" s="68"/>
      <c r="IA5" s="68"/>
      <c r="IB5" s="69"/>
      <c r="IC5" s="69"/>
      <c r="ID5" s="69"/>
      <c r="IE5" s="69"/>
      <c r="IF5" s="68"/>
      <c r="IG5" s="68"/>
      <c r="IH5" s="68"/>
      <c r="II5" s="68"/>
      <c r="IJ5" s="68"/>
      <c r="IK5" s="68"/>
      <c r="IL5" s="68"/>
      <c r="IM5" s="68"/>
      <c r="IN5" s="69"/>
      <c r="IO5" s="69"/>
      <c r="IP5" s="69"/>
      <c r="IQ5" s="68"/>
      <c r="IR5" s="69"/>
      <c r="IS5" s="69"/>
      <c r="IT5" s="68"/>
      <c r="IU5" s="68"/>
      <c r="IV5" s="68"/>
      <c r="IW5" s="68"/>
      <c r="IX5" s="69"/>
      <c r="IY5" s="69"/>
      <c r="IZ5" s="69"/>
      <c r="JA5" s="68"/>
    </row>
    <row r="6" spans="1:261" s="37" customFormat="1" ht="28.5" customHeight="1">
      <c r="A6" s="36">
        <v>17</v>
      </c>
      <c r="B6" s="117" t="s">
        <v>652</v>
      </c>
      <c r="C6" s="139" t="s">
        <v>617</v>
      </c>
      <c r="D6" s="103" t="s">
        <v>549</v>
      </c>
      <c r="E6" s="37" t="s">
        <v>384</v>
      </c>
      <c r="F6" s="37" t="s">
        <v>385</v>
      </c>
      <c r="G6" s="103">
        <v>55</v>
      </c>
      <c r="H6" s="104">
        <v>55</v>
      </c>
      <c r="I6" s="104"/>
      <c r="J6" s="104"/>
      <c r="K6" s="104"/>
      <c r="L6" s="103">
        <v>55</v>
      </c>
      <c r="M6" s="104">
        <v>55</v>
      </c>
      <c r="N6" s="104"/>
      <c r="O6" s="104"/>
      <c r="P6" s="104"/>
      <c r="Q6" s="104" t="s">
        <v>617</v>
      </c>
      <c r="R6" s="105"/>
      <c r="S6" s="105"/>
      <c r="T6" s="105"/>
      <c r="U6" s="105"/>
      <c r="V6" s="105"/>
      <c r="W6" s="105"/>
      <c r="X6" s="105"/>
      <c r="Y6" s="105"/>
      <c r="Z6" s="105"/>
      <c r="AA6" s="105"/>
      <c r="AB6" s="105"/>
      <c r="AC6" s="105"/>
      <c r="AD6" s="105"/>
      <c r="AE6" s="105"/>
      <c r="AF6" s="106">
        <v>18</v>
      </c>
      <c r="AG6" s="106">
        <v>18</v>
      </c>
      <c r="AH6" s="106"/>
      <c r="AI6" s="106"/>
      <c r="AJ6" s="106"/>
      <c r="AK6" s="106"/>
      <c r="AL6" s="106"/>
      <c r="AM6" s="106"/>
      <c r="AN6" s="106"/>
      <c r="AO6" s="106"/>
      <c r="AP6" s="106"/>
      <c r="AQ6" s="106"/>
      <c r="AR6" s="106"/>
      <c r="AS6" s="106"/>
      <c r="AT6" s="106"/>
      <c r="AU6" s="106"/>
      <c r="AV6" s="106"/>
      <c r="AW6" s="106"/>
      <c r="AX6" s="106"/>
      <c r="AY6" s="106"/>
      <c r="AZ6" s="106"/>
      <c r="BA6" s="106"/>
      <c r="BB6" s="105"/>
      <c r="BC6" s="105"/>
      <c r="BD6" s="105"/>
      <c r="BE6" s="105"/>
      <c r="BF6" s="105"/>
      <c r="BG6" s="105"/>
      <c r="BH6" s="105"/>
      <c r="BI6" s="105"/>
      <c r="BJ6" s="105"/>
      <c r="BK6" s="105"/>
      <c r="BL6" s="105"/>
      <c r="BM6" s="105"/>
      <c r="BN6" s="105"/>
      <c r="BO6" s="105"/>
      <c r="BP6" s="105"/>
      <c r="BQ6" s="105"/>
      <c r="BR6" s="105"/>
      <c r="BS6" s="105"/>
      <c r="BT6" s="105"/>
      <c r="BU6" s="105"/>
      <c r="BV6" s="105"/>
      <c r="BW6" s="105"/>
      <c r="BX6" s="105"/>
      <c r="BY6" s="105"/>
      <c r="BZ6" s="105"/>
      <c r="CA6" s="105"/>
      <c r="CB6" s="105"/>
      <c r="CC6" s="105"/>
      <c r="CD6" s="105"/>
      <c r="CE6" s="105"/>
      <c r="CF6" s="105"/>
      <c r="CG6" s="105"/>
      <c r="CH6" s="105"/>
      <c r="CI6" s="105"/>
      <c r="CJ6" s="105"/>
      <c r="CK6" s="105"/>
      <c r="CL6" s="105"/>
      <c r="CM6" s="105"/>
      <c r="CN6" s="105"/>
      <c r="CO6" s="105"/>
      <c r="CP6" s="105"/>
      <c r="CQ6" s="105"/>
      <c r="CR6" s="105"/>
      <c r="CS6" s="105"/>
      <c r="CT6" s="105"/>
      <c r="CU6" s="105"/>
      <c r="CV6" s="105"/>
      <c r="CW6" s="105"/>
      <c r="CX6" s="105"/>
      <c r="CY6" s="105"/>
      <c r="CZ6" s="105"/>
      <c r="DA6" s="105"/>
      <c r="DB6" s="105"/>
      <c r="DC6" s="105"/>
      <c r="DD6" s="105"/>
      <c r="DE6" s="105"/>
      <c r="DF6" s="105"/>
      <c r="DG6" s="105"/>
      <c r="DH6" s="105"/>
      <c r="DI6" s="105"/>
      <c r="DJ6" s="105"/>
      <c r="DK6" s="105"/>
      <c r="DL6" s="105"/>
      <c r="DM6" s="105"/>
      <c r="DN6" s="105"/>
      <c r="DO6" s="105"/>
      <c r="DP6" s="105"/>
      <c r="DQ6" s="105"/>
      <c r="DR6" s="105"/>
      <c r="DS6" s="105"/>
      <c r="DT6" s="105"/>
      <c r="DU6" s="105"/>
      <c r="DV6" s="105"/>
      <c r="DW6" s="105"/>
      <c r="DX6" s="105"/>
      <c r="DY6" s="105"/>
      <c r="DZ6" s="105"/>
      <c r="EA6" s="105"/>
      <c r="EB6" s="105"/>
      <c r="EC6" s="105"/>
      <c r="ED6" s="105"/>
      <c r="EE6" s="105"/>
      <c r="EF6" s="105"/>
      <c r="EG6" s="105"/>
      <c r="EH6" s="105"/>
      <c r="EI6" s="105"/>
      <c r="EJ6" s="105"/>
      <c r="EK6" s="105"/>
      <c r="EL6" s="105"/>
      <c r="EM6" s="105"/>
      <c r="EN6" s="105"/>
      <c r="EO6" s="105"/>
      <c r="EP6" s="105"/>
      <c r="EQ6" s="105"/>
      <c r="ER6" s="105"/>
      <c r="ES6" s="105"/>
      <c r="ET6" s="105"/>
      <c r="EU6" s="105"/>
      <c r="EV6" s="105"/>
      <c r="EW6" s="105"/>
      <c r="EX6" s="105"/>
      <c r="EY6" s="105"/>
      <c r="EZ6" s="105"/>
      <c r="FA6" s="105"/>
      <c r="FB6" s="105"/>
      <c r="FC6" s="105"/>
      <c r="FD6" s="105"/>
      <c r="FE6" s="105"/>
      <c r="FF6" s="105"/>
      <c r="FG6" s="105"/>
      <c r="FH6" s="105"/>
      <c r="FI6" s="105"/>
      <c r="FJ6" s="105"/>
      <c r="FK6" s="105"/>
      <c r="FL6" s="105"/>
      <c r="FM6" s="105"/>
      <c r="FN6" s="105"/>
      <c r="FO6" s="105"/>
      <c r="FP6" s="105"/>
      <c r="FQ6" s="105"/>
      <c r="FR6" s="105"/>
      <c r="FS6" s="105"/>
      <c r="FT6" s="105"/>
      <c r="FU6" s="105"/>
      <c r="FV6" s="105"/>
      <c r="FW6" s="105"/>
      <c r="FX6" s="105"/>
      <c r="FY6" s="105"/>
      <c r="FZ6" s="105"/>
      <c r="GA6" s="105"/>
      <c r="GB6" s="105"/>
      <c r="GC6" s="105"/>
      <c r="GD6" s="105"/>
      <c r="GE6" s="105"/>
      <c r="GF6" s="105"/>
      <c r="GG6" s="105"/>
      <c r="GH6" s="105"/>
      <c r="GI6" s="105"/>
      <c r="GJ6" s="105"/>
      <c r="GK6" s="105"/>
      <c r="GL6" s="105"/>
      <c r="GM6" s="105"/>
      <c r="GN6" s="105"/>
      <c r="GO6" s="105"/>
      <c r="GP6" s="105"/>
      <c r="GQ6" s="105"/>
      <c r="GR6" s="105"/>
      <c r="GS6" s="105"/>
      <c r="GT6" s="105"/>
      <c r="GU6" s="105"/>
      <c r="GV6" s="105"/>
      <c r="GW6" s="105"/>
      <c r="GX6" s="105"/>
      <c r="GY6" s="105"/>
      <c r="GZ6" s="105"/>
    </row>
    <row r="7" spans="1:261" s="37" customFormat="1" ht="28.5" customHeight="1">
      <c r="A7" s="36">
        <v>19</v>
      </c>
      <c r="B7" s="107" t="s">
        <v>650</v>
      </c>
      <c r="C7" s="139" t="s">
        <v>663</v>
      </c>
      <c r="D7" s="103" t="s">
        <v>549</v>
      </c>
      <c r="E7" s="37" t="s">
        <v>384</v>
      </c>
      <c r="F7" s="37" t="s">
        <v>385</v>
      </c>
      <c r="G7" s="103">
        <v>143</v>
      </c>
      <c r="H7" s="104">
        <v>143</v>
      </c>
      <c r="I7" s="104"/>
      <c r="J7" s="104">
        <v>69</v>
      </c>
      <c r="K7" s="104">
        <v>74</v>
      </c>
      <c r="L7" s="103">
        <v>139</v>
      </c>
      <c r="M7" s="104">
        <v>139</v>
      </c>
      <c r="N7" s="104"/>
      <c r="O7" s="104"/>
      <c r="P7" s="104"/>
      <c r="Q7" s="104" t="s">
        <v>663</v>
      </c>
      <c r="R7" s="105"/>
      <c r="S7" s="105"/>
      <c r="T7" s="105"/>
      <c r="U7" s="105"/>
      <c r="V7" s="105"/>
      <c r="W7" s="105"/>
      <c r="X7" s="105"/>
      <c r="Y7" s="105"/>
      <c r="Z7" s="105"/>
      <c r="AA7" s="105"/>
      <c r="AB7" s="105"/>
      <c r="AC7" s="105"/>
      <c r="AD7" s="105"/>
      <c r="AE7" s="105"/>
      <c r="AF7" s="106">
        <v>26</v>
      </c>
      <c r="AG7" s="106"/>
      <c r="AH7" s="106"/>
      <c r="AI7" s="106"/>
      <c r="AJ7" s="106"/>
      <c r="AK7" s="106"/>
      <c r="AL7" s="106"/>
      <c r="AM7" s="106"/>
      <c r="AN7" s="106"/>
      <c r="AO7" s="106"/>
      <c r="AP7" s="106"/>
      <c r="AQ7" s="106"/>
      <c r="AR7" s="106"/>
      <c r="AS7" s="106"/>
      <c r="AT7" s="106"/>
      <c r="AU7" s="106"/>
      <c r="AV7" s="106"/>
      <c r="AW7" s="106"/>
      <c r="AX7" s="106"/>
      <c r="AY7" s="106"/>
      <c r="AZ7" s="106"/>
      <c r="BA7" s="106"/>
      <c r="BB7" s="105"/>
      <c r="BC7" s="105"/>
      <c r="BD7" s="105"/>
      <c r="BE7" s="105"/>
      <c r="BF7" s="105"/>
      <c r="BG7" s="105"/>
      <c r="BH7" s="105"/>
      <c r="BI7" s="105"/>
      <c r="BJ7" s="105"/>
      <c r="BK7" s="105"/>
      <c r="BL7" s="105"/>
      <c r="BM7" s="105"/>
      <c r="BN7" s="105"/>
      <c r="BO7" s="105"/>
      <c r="BP7" s="105"/>
      <c r="BQ7" s="105"/>
      <c r="BR7" s="105"/>
      <c r="BS7" s="105"/>
      <c r="BT7" s="105"/>
      <c r="BU7" s="105"/>
      <c r="BV7" s="105"/>
      <c r="BW7" s="105"/>
      <c r="BX7" s="105"/>
      <c r="BY7" s="105"/>
      <c r="BZ7" s="105"/>
      <c r="CA7" s="105"/>
      <c r="CB7" s="105"/>
      <c r="CC7" s="105"/>
      <c r="CD7" s="105"/>
      <c r="CE7" s="105"/>
      <c r="CF7" s="105"/>
      <c r="CG7" s="105"/>
      <c r="CH7" s="105"/>
      <c r="CI7" s="105"/>
      <c r="CJ7" s="105"/>
      <c r="CK7" s="105"/>
      <c r="CL7" s="105"/>
      <c r="CM7" s="105"/>
      <c r="CN7" s="105"/>
      <c r="CO7" s="105"/>
      <c r="CP7" s="105"/>
      <c r="CQ7" s="105"/>
      <c r="CR7" s="105"/>
      <c r="CS7" s="105"/>
      <c r="CT7" s="105"/>
      <c r="CU7" s="105"/>
      <c r="CV7" s="105"/>
      <c r="CW7" s="105"/>
      <c r="CX7" s="105"/>
      <c r="CY7" s="105"/>
      <c r="CZ7" s="105"/>
      <c r="DA7" s="105">
        <v>16</v>
      </c>
      <c r="DB7" s="105"/>
      <c r="DC7" s="105"/>
      <c r="DD7" s="105"/>
      <c r="DE7" s="105"/>
      <c r="DF7" s="105"/>
      <c r="DG7" s="105"/>
      <c r="DH7" s="105"/>
      <c r="DI7" s="105"/>
      <c r="DJ7" s="105"/>
      <c r="DK7" s="105"/>
      <c r="DL7" s="105"/>
      <c r="DM7" s="105"/>
      <c r="DN7" s="105"/>
      <c r="DO7" s="105"/>
      <c r="DP7" s="105"/>
      <c r="DQ7" s="105"/>
      <c r="DR7" s="105"/>
      <c r="DS7" s="105"/>
      <c r="DT7" s="105"/>
      <c r="DU7" s="105"/>
      <c r="DV7" s="105"/>
      <c r="DW7" s="105"/>
      <c r="DX7" s="105"/>
      <c r="DY7" s="105"/>
      <c r="DZ7" s="105"/>
      <c r="EA7" s="105"/>
      <c r="EB7" s="105"/>
      <c r="EC7" s="105"/>
      <c r="ED7" s="105"/>
      <c r="EE7" s="105"/>
      <c r="EF7" s="105"/>
      <c r="EG7" s="105"/>
      <c r="EH7" s="105"/>
      <c r="EI7" s="105"/>
      <c r="EJ7" s="105"/>
      <c r="EK7" s="105"/>
      <c r="EL7" s="105"/>
      <c r="EM7" s="105"/>
      <c r="EN7" s="105"/>
      <c r="EO7" s="105"/>
      <c r="EP7" s="105"/>
      <c r="EQ7" s="105"/>
      <c r="ER7" s="105"/>
      <c r="ES7" s="105"/>
      <c r="ET7" s="105"/>
      <c r="EU7" s="105"/>
      <c r="EV7" s="105"/>
      <c r="EW7" s="105"/>
      <c r="EX7" s="105"/>
      <c r="EY7" s="105"/>
      <c r="EZ7" s="105" t="s">
        <v>663</v>
      </c>
      <c r="FA7" s="105" t="s">
        <v>549</v>
      </c>
      <c r="FB7" s="105" t="s">
        <v>384</v>
      </c>
      <c r="FC7" s="105" t="s">
        <v>651</v>
      </c>
      <c r="FD7" s="105">
        <v>4</v>
      </c>
      <c r="FE7" s="105">
        <v>4</v>
      </c>
      <c r="FF7" s="105"/>
      <c r="FG7" s="105"/>
      <c r="FH7" s="105"/>
      <c r="FI7" s="105"/>
      <c r="FJ7" s="105"/>
      <c r="FK7" s="105"/>
      <c r="FL7" s="105"/>
      <c r="FM7" s="105"/>
      <c r="FN7" s="105"/>
      <c r="FO7" s="105"/>
      <c r="FP7" s="105"/>
      <c r="FQ7" s="105"/>
      <c r="FR7" s="105"/>
      <c r="FS7" s="105"/>
      <c r="FT7" s="105"/>
      <c r="FU7" s="105"/>
      <c r="FV7" s="105"/>
      <c r="FW7" s="105"/>
      <c r="FX7" s="105"/>
      <c r="FY7" s="105"/>
      <c r="FZ7" s="105"/>
      <c r="GA7" s="105"/>
      <c r="GB7" s="105"/>
      <c r="GC7" s="105"/>
      <c r="GD7" s="105"/>
      <c r="GE7" s="105"/>
      <c r="GF7" s="105"/>
      <c r="GG7" s="105"/>
      <c r="GH7" s="105"/>
      <c r="GI7" s="105"/>
      <c r="GJ7" s="105"/>
      <c r="GK7" s="105"/>
      <c r="GL7" s="105"/>
      <c r="GM7" s="105"/>
      <c r="GN7" s="105"/>
      <c r="GO7" s="105"/>
      <c r="GP7" s="105"/>
      <c r="GQ7" s="105"/>
      <c r="GR7" s="105"/>
      <c r="GS7" s="105"/>
      <c r="GT7" s="105"/>
      <c r="GU7" s="105"/>
      <c r="GV7" s="105"/>
      <c r="GW7" s="105"/>
      <c r="GX7" s="105"/>
      <c r="GY7" s="105"/>
      <c r="GZ7" s="105"/>
      <c r="HS7" s="37">
        <v>1</v>
      </c>
    </row>
    <row r="8" spans="1:261" ht="28.5" customHeight="1">
      <c r="A8" s="1">
        <v>23</v>
      </c>
      <c r="B8" s="108" t="s">
        <v>664</v>
      </c>
      <c r="C8" s="110" t="s">
        <v>617</v>
      </c>
      <c r="D8" s="65" t="s">
        <v>549</v>
      </c>
      <c r="E8" s="66" t="s">
        <v>384</v>
      </c>
      <c r="F8" s="66" t="s">
        <v>385</v>
      </c>
      <c r="G8" s="65">
        <v>50</v>
      </c>
      <c r="H8" s="65">
        <v>50</v>
      </c>
      <c r="L8" s="65">
        <v>50</v>
      </c>
      <c r="M8" s="65">
        <v>50</v>
      </c>
      <c r="Q8" s="65" t="s">
        <v>617</v>
      </c>
      <c r="AF8" s="68">
        <v>12</v>
      </c>
      <c r="AG8" s="68"/>
      <c r="AH8" s="68"/>
      <c r="AI8" s="68"/>
      <c r="AJ8" s="68"/>
      <c r="AK8" s="68"/>
      <c r="AL8" s="68"/>
      <c r="AM8" s="68"/>
      <c r="AN8" s="68"/>
      <c r="AO8" s="68"/>
      <c r="AP8" s="68"/>
      <c r="AQ8" s="68"/>
      <c r="AR8" s="68"/>
      <c r="AS8" s="68"/>
      <c r="AT8" s="68"/>
      <c r="AU8" s="68"/>
      <c r="AV8" s="68"/>
      <c r="AW8" s="68"/>
      <c r="AX8" s="68"/>
      <c r="AY8" s="68"/>
      <c r="AZ8" s="68"/>
      <c r="BA8" s="68"/>
    </row>
    <row r="9" spans="1:261" s="66" customFormat="1" ht="28.5" customHeight="1">
      <c r="A9" s="1">
        <v>30</v>
      </c>
      <c r="B9" s="107" t="s">
        <v>666</v>
      </c>
      <c r="C9" s="110" t="s">
        <v>639</v>
      </c>
      <c r="D9" s="65" t="s">
        <v>549</v>
      </c>
      <c r="E9" s="66" t="s">
        <v>385</v>
      </c>
      <c r="F9" s="66" t="s">
        <v>385</v>
      </c>
      <c r="G9" s="65">
        <v>77</v>
      </c>
      <c r="H9" s="65">
        <v>58</v>
      </c>
      <c r="I9" s="65" t="s">
        <v>728</v>
      </c>
      <c r="J9" s="65">
        <v>25</v>
      </c>
      <c r="K9" s="65">
        <v>33</v>
      </c>
      <c r="L9" s="65">
        <v>40</v>
      </c>
      <c r="M9" s="65">
        <v>58</v>
      </c>
      <c r="N9" s="65"/>
      <c r="O9" s="65"/>
      <c r="P9" s="82"/>
      <c r="Q9" s="66" t="s">
        <v>739</v>
      </c>
      <c r="AF9" s="68">
        <v>10</v>
      </c>
      <c r="AG9" s="68">
        <v>10</v>
      </c>
      <c r="AH9" s="68"/>
      <c r="AI9" s="68"/>
      <c r="AJ9" s="68"/>
      <c r="AK9" s="68"/>
      <c r="AL9" s="68"/>
      <c r="AM9" s="68"/>
      <c r="AN9" s="68"/>
      <c r="AO9" s="68">
        <v>5</v>
      </c>
      <c r="AP9" s="68"/>
      <c r="AQ9" s="68"/>
      <c r="AR9" s="68"/>
      <c r="AS9" s="68"/>
      <c r="AT9" s="68"/>
      <c r="AU9" s="68"/>
      <c r="AV9" s="68"/>
      <c r="AW9" s="68"/>
      <c r="AX9" s="68"/>
      <c r="AY9" s="68"/>
      <c r="AZ9" s="68"/>
      <c r="BA9" s="68"/>
      <c r="BE9" s="66">
        <v>4</v>
      </c>
      <c r="CF9" s="66">
        <v>2</v>
      </c>
      <c r="CH9" s="66">
        <v>1</v>
      </c>
      <c r="CV9" s="66">
        <v>2</v>
      </c>
      <c r="DA9" s="66">
        <v>1</v>
      </c>
      <c r="DC9" s="66">
        <v>1</v>
      </c>
      <c r="EZ9" s="66" t="s">
        <v>639</v>
      </c>
      <c r="FA9" s="66" t="s">
        <v>549</v>
      </c>
      <c r="FB9" s="66" t="s">
        <v>385</v>
      </c>
      <c r="FC9" s="66" t="s">
        <v>646</v>
      </c>
      <c r="FD9" s="66">
        <v>35</v>
      </c>
      <c r="FE9" s="66">
        <v>58</v>
      </c>
      <c r="FP9" s="66">
        <v>13</v>
      </c>
      <c r="FQ9" s="66">
        <v>11</v>
      </c>
      <c r="FV9" s="66">
        <v>3</v>
      </c>
      <c r="GG9" s="66">
        <v>2</v>
      </c>
      <c r="GJ9" s="66">
        <v>1</v>
      </c>
      <c r="HS9" s="66">
        <v>2</v>
      </c>
      <c r="HY9" s="66">
        <v>1</v>
      </c>
    </row>
    <row r="10" spans="1:261" s="66" customFormat="1" ht="28.5" customHeight="1">
      <c r="A10" s="1">
        <v>36</v>
      </c>
      <c r="B10" s="107" t="s">
        <v>668</v>
      </c>
      <c r="C10" s="110" t="s">
        <v>617</v>
      </c>
      <c r="D10" s="65" t="s">
        <v>549</v>
      </c>
      <c r="E10" s="66" t="s">
        <v>384</v>
      </c>
      <c r="F10" s="66" t="s">
        <v>385</v>
      </c>
      <c r="G10" s="65">
        <v>119</v>
      </c>
      <c r="H10" s="65">
        <v>119</v>
      </c>
      <c r="I10" s="65">
        <v>62.1</v>
      </c>
      <c r="J10" s="65">
        <v>66</v>
      </c>
      <c r="K10" s="65">
        <v>53</v>
      </c>
      <c r="L10" s="65">
        <v>119</v>
      </c>
      <c r="M10" s="65">
        <v>119</v>
      </c>
      <c r="N10" s="65"/>
      <c r="O10" s="65"/>
      <c r="P10" s="65"/>
      <c r="Q10" s="65" t="s">
        <v>617</v>
      </c>
      <c r="AF10" s="66">
        <v>17</v>
      </c>
      <c r="AG10" s="66">
        <v>15</v>
      </c>
      <c r="DA10" s="66">
        <v>12</v>
      </c>
      <c r="DC10" s="66">
        <v>1</v>
      </c>
      <c r="DD10" s="66">
        <v>7</v>
      </c>
      <c r="GU10" s="97"/>
    </row>
    <row r="11" spans="1:261" s="66" customFormat="1" ht="28.5" customHeight="1">
      <c r="A11" s="70">
        <v>43</v>
      </c>
      <c r="B11" s="111" t="s">
        <v>669</v>
      </c>
      <c r="C11" s="112" t="s">
        <v>617</v>
      </c>
      <c r="D11" s="66" t="s">
        <v>549</v>
      </c>
      <c r="E11" s="66" t="s">
        <v>384</v>
      </c>
      <c r="F11" s="66" t="s">
        <v>385</v>
      </c>
      <c r="G11" s="65">
        <v>79</v>
      </c>
      <c r="H11" s="65">
        <v>79</v>
      </c>
      <c r="I11" s="65"/>
      <c r="J11" s="65">
        <v>42</v>
      </c>
      <c r="K11" s="65">
        <v>37</v>
      </c>
      <c r="L11" s="65">
        <v>79</v>
      </c>
      <c r="M11" s="65">
        <v>79</v>
      </c>
      <c r="N11" s="65"/>
      <c r="O11" s="65"/>
      <c r="P11" s="65"/>
      <c r="Q11" s="65" t="s">
        <v>617</v>
      </c>
      <c r="AF11" s="66">
        <v>33</v>
      </c>
    </row>
    <row r="12" spans="1:261" s="66" customFormat="1" ht="28.5" customHeight="1">
      <c r="A12" s="1">
        <v>50</v>
      </c>
      <c r="B12" s="108" t="s">
        <v>670</v>
      </c>
      <c r="C12" s="110" t="s">
        <v>617</v>
      </c>
      <c r="D12" s="65" t="s">
        <v>549</v>
      </c>
      <c r="E12" s="66" t="s">
        <v>385</v>
      </c>
      <c r="F12" s="66" t="s">
        <v>385</v>
      </c>
      <c r="G12" s="65">
        <v>132</v>
      </c>
      <c r="H12" s="65">
        <v>105</v>
      </c>
      <c r="I12" s="65"/>
      <c r="J12" s="65"/>
      <c r="K12" s="65"/>
      <c r="L12" s="65">
        <v>84</v>
      </c>
      <c r="M12" s="65">
        <v>84</v>
      </c>
      <c r="N12" s="65"/>
      <c r="O12" s="65"/>
      <c r="P12" s="65"/>
      <c r="Q12" s="66" t="s">
        <v>617</v>
      </c>
      <c r="DA12" s="66">
        <v>7</v>
      </c>
      <c r="DB12" s="66">
        <v>3</v>
      </c>
      <c r="DC12" s="66">
        <v>3</v>
      </c>
      <c r="EZ12" s="66" t="s">
        <v>617</v>
      </c>
      <c r="FA12" s="66" t="s">
        <v>626</v>
      </c>
      <c r="FB12" s="66" t="s">
        <v>385</v>
      </c>
      <c r="FC12" s="66" t="s">
        <v>631</v>
      </c>
      <c r="FD12" s="66">
        <v>48</v>
      </c>
      <c r="FE12" s="66">
        <v>48</v>
      </c>
      <c r="HS12" s="66">
        <v>3</v>
      </c>
      <c r="HU12" s="66">
        <v>2</v>
      </c>
    </row>
    <row r="13" spans="1:261" ht="28.5" customHeight="1">
      <c r="A13" s="1">
        <v>60</v>
      </c>
      <c r="B13" s="108" t="s">
        <v>671</v>
      </c>
      <c r="C13" s="113" t="s">
        <v>617</v>
      </c>
      <c r="D13" s="50" t="s">
        <v>549</v>
      </c>
      <c r="E13" s="2" t="s">
        <v>384</v>
      </c>
      <c r="F13" s="2" t="s">
        <v>385</v>
      </c>
      <c r="G13" s="50">
        <v>312</v>
      </c>
      <c r="H13" s="65">
        <v>312</v>
      </c>
      <c r="L13" s="65">
        <v>268</v>
      </c>
      <c r="M13" s="65">
        <v>268</v>
      </c>
      <c r="Q13" s="65" t="s">
        <v>617</v>
      </c>
      <c r="AF13" s="67">
        <v>83</v>
      </c>
      <c r="AG13" s="67">
        <v>76</v>
      </c>
      <c r="AR13" s="67">
        <v>2</v>
      </c>
      <c r="DA13" s="67">
        <v>16</v>
      </c>
      <c r="DB13" s="67">
        <v>1</v>
      </c>
      <c r="DC13" s="67">
        <v>9</v>
      </c>
      <c r="DD13" s="67">
        <v>2</v>
      </c>
      <c r="EZ13" s="67" t="s">
        <v>617</v>
      </c>
      <c r="FA13" s="67" t="s">
        <v>549</v>
      </c>
      <c r="FB13" s="67" t="s">
        <v>384</v>
      </c>
      <c r="FC13" s="67" t="s">
        <v>631</v>
      </c>
      <c r="FD13" s="67">
        <v>44</v>
      </c>
      <c r="FE13" s="67">
        <v>44</v>
      </c>
      <c r="FP13" s="67">
        <v>14</v>
      </c>
      <c r="FQ13" s="67">
        <v>12</v>
      </c>
      <c r="HS13" s="2">
        <v>4</v>
      </c>
      <c r="HU13" s="2">
        <v>1</v>
      </c>
      <c r="HV13" s="2">
        <v>2</v>
      </c>
    </row>
    <row r="14" spans="1:261" ht="28.5" customHeight="1">
      <c r="A14" s="1">
        <v>62</v>
      </c>
      <c r="B14" s="107" t="s">
        <v>672</v>
      </c>
      <c r="C14" s="113" t="s">
        <v>629</v>
      </c>
      <c r="D14" s="50" t="s">
        <v>549</v>
      </c>
      <c r="E14" s="2" t="s">
        <v>384</v>
      </c>
      <c r="F14" s="2" t="s">
        <v>385</v>
      </c>
      <c r="G14" s="50">
        <v>335</v>
      </c>
      <c r="H14" s="65">
        <v>335</v>
      </c>
      <c r="J14" s="65">
        <v>169</v>
      </c>
      <c r="K14" s="65">
        <v>166</v>
      </c>
      <c r="L14" s="65">
        <v>284</v>
      </c>
      <c r="M14" s="65">
        <v>284</v>
      </c>
      <c r="Q14" s="65" t="s">
        <v>617</v>
      </c>
      <c r="CF14" s="67">
        <v>34</v>
      </c>
      <c r="EZ14" s="67" t="s">
        <v>617</v>
      </c>
      <c r="FA14" s="67" t="s">
        <v>549</v>
      </c>
      <c r="FB14" s="67" t="s">
        <v>384</v>
      </c>
      <c r="FC14" s="67" t="s">
        <v>630</v>
      </c>
      <c r="FD14" s="67">
        <v>51</v>
      </c>
      <c r="FE14" s="67">
        <v>51</v>
      </c>
      <c r="HA14" s="2">
        <v>4</v>
      </c>
    </row>
    <row r="15" spans="1:261" s="66" customFormat="1" ht="28.5" customHeight="1">
      <c r="A15" s="70">
        <v>93</v>
      </c>
      <c r="B15" s="108" t="s">
        <v>684</v>
      </c>
      <c r="C15" s="66" t="s">
        <v>685</v>
      </c>
      <c r="D15" s="65" t="s">
        <v>549</v>
      </c>
      <c r="E15" s="66" t="s">
        <v>384</v>
      </c>
      <c r="F15" s="66" t="s">
        <v>384</v>
      </c>
      <c r="G15" s="65">
        <v>51</v>
      </c>
      <c r="H15" s="65">
        <v>51</v>
      </c>
      <c r="I15" s="65"/>
      <c r="J15" s="65">
        <v>17</v>
      </c>
      <c r="K15" s="65">
        <v>34</v>
      </c>
      <c r="L15" s="65">
        <v>51</v>
      </c>
      <c r="M15" s="65">
        <v>51</v>
      </c>
      <c r="N15" s="65"/>
      <c r="O15" s="65"/>
      <c r="P15" s="65"/>
      <c r="Q15" s="66" t="s">
        <v>685</v>
      </c>
      <c r="R15" s="70"/>
      <c r="S15" s="70"/>
      <c r="T15" s="70"/>
      <c r="U15" s="70"/>
      <c r="V15" s="70"/>
      <c r="W15" s="70"/>
      <c r="X15" s="70"/>
      <c r="DA15" s="66">
        <v>10</v>
      </c>
      <c r="FF15" s="70"/>
      <c r="FG15" s="70"/>
      <c r="FH15" s="70"/>
    </row>
    <row r="16" spans="1:261" s="66" customFormat="1" ht="28.5" customHeight="1">
      <c r="A16" s="70">
        <v>97</v>
      </c>
      <c r="B16" s="108" t="s">
        <v>689</v>
      </c>
      <c r="C16" s="66" t="s">
        <v>617</v>
      </c>
      <c r="D16" s="65" t="s">
        <v>549</v>
      </c>
      <c r="E16" s="66" t="s">
        <v>384</v>
      </c>
      <c r="F16" s="66" t="s">
        <v>384</v>
      </c>
      <c r="G16" s="65">
        <v>92</v>
      </c>
      <c r="H16" s="65">
        <v>92</v>
      </c>
      <c r="I16" s="65"/>
      <c r="J16" s="65">
        <v>40</v>
      </c>
      <c r="K16" s="65">
        <v>52</v>
      </c>
      <c r="L16" s="65">
        <v>92</v>
      </c>
      <c r="M16" s="65">
        <v>92</v>
      </c>
      <c r="N16" s="65"/>
      <c r="O16" s="65"/>
      <c r="P16" s="65"/>
      <c r="Q16" s="65" t="s">
        <v>617</v>
      </c>
      <c r="AF16" s="66">
        <v>24</v>
      </c>
      <c r="CF16" s="66">
        <v>3</v>
      </c>
      <c r="DA16" s="66">
        <v>21</v>
      </c>
    </row>
    <row r="17" spans="1:17" ht="28.5" customHeight="1">
      <c r="A17" s="70"/>
      <c r="B17" s="162"/>
      <c r="C17" s="67"/>
      <c r="G17" s="65"/>
    </row>
    <row r="18" spans="1:17" s="66" customFormat="1" ht="28.5" customHeight="1">
      <c r="A18" s="70"/>
      <c r="B18" s="108"/>
      <c r="D18" s="65"/>
      <c r="G18" s="65"/>
      <c r="H18" s="65"/>
      <c r="I18" s="65"/>
      <c r="J18" s="65"/>
      <c r="K18" s="65"/>
      <c r="L18" s="65"/>
      <c r="M18" s="65"/>
      <c r="N18" s="65"/>
      <c r="O18" s="65"/>
      <c r="P18" s="65"/>
      <c r="Q18" s="65"/>
    </row>
    <row r="19" spans="1:17" s="66" customFormat="1" ht="28.5" customHeight="1">
      <c r="A19" s="70"/>
      <c r="B19" s="108"/>
      <c r="D19" s="65"/>
      <c r="G19" s="65"/>
      <c r="H19" s="65"/>
      <c r="I19" s="65"/>
      <c r="J19" s="65"/>
      <c r="K19" s="65"/>
      <c r="L19" s="65"/>
      <c r="M19" s="65"/>
      <c r="N19" s="65"/>
      <c r="O19" s="65"/>
      <c r="P19" s="65"/>
      <c r="Q19" s="65"/>
    </row>
    <row r="20" spans="1:17" ht="28.5" customHeight="1">
      <c r="A20" s="70"/>
      <c r="C20" s="67"/>
    </row>
    <row r="21" spans="1:17" ht="28.5" customHeight="1">
      <c r="A21" s="70"/>
      <c r="C21" s="67"/>
    </row>
    <row r="22" spans="1:17" ht="28.5" customHeight="1">
      <c r="A22" s="70"/>
      <c r="C22" s="67"/>
    </row>
    <row r="23" spans="1:17" ht="28.5" customHeight="1">
      <c r="A23" s="70"/>
      <c r="C23" s="67"/>
    </row>
    <row r="24" spans="1:17" ht="28.5" customHeight="1">
      <c r="A24" s="70"/>
      <c r="C24" s="67"/>
    </row>
    <row r="25" spans="1:17" s="66" customFormat="1" ht="28.5" customHeight="1">
      <c r="A25" s="70"/>
      <c r="B25" s="108"/>
      <c r="C25" s="88"/>
      <c r="D25" s="89"/>
      <c r="E25" s="88"/>
      <c r="F25" s="88"/>
      <c r="G25" s="65"/>
      <c r="H25" s="65"/>
      <c r="I25" s="65"/>
      <c r="J25" s="65"/>
      <c r="K25" s="65"/>
      <c r="L25" s="65"/>
      <c r="M25" s="65"/>
      <c r="N25" s="65"/>
      <c r="O25" s="65"/>
      <c r="P25" s="65"/>
      <c r="Q25" s="65"/>
    </row>
    <row r="26" spans="1:17" s="66" customFormat="1" ht="28.5" customHeight="1">
      <c r="A26" s="70"/>
      <c r="B26" s="108"/>
      <c r="C26" s="90"/>
      <c r="D26" s="91"/>
      <c r="E26" s="90"/>
      <c r="F26" s="90"/>
      <c r="G26" s="65"/>
      <c r="H26" s="65"/>
      <c r="I26" s="65"/>
      <c r="J26" s="65"/>
      <c r="K26" s="65"/>
      <c r="L26" s="65"/>
      <c r="M26" s="65"/>
      <c r="N26" s="65"/>
      <c r="O26" s="65"/>
      <c r="P26" s="65"/>
      <c r="Q26" s="65"/>
    </row>
    <row r="27" spans="1:17" ht="28.5" customHeight="1">
      <c r="A27" s="70"/>
      <c r="C27" s="67"/>
    </row>
    <row r="28" spans="1:17" ht="28.5" customHeight="1">
      <c r="A28" s="70"/>
      <c r="C28" s="67"/>
      <c r="D28" s="92"/>
      <c r="E28" s="93"/>
      <c r="F28" s="93"/>
      <c r="G28" s="92"/>
      <c r="H28" s="87"/>
      <c r="I28" s="87"/>
      <c r="J28" s="87"/>
      <c r="K28" s="87"/>
      <c r="L28" s="87"/>
      <c r="M28" s="87"/>
      <c r="N28" s="87"/>
      <c r="O28" s="87"/>
      <c r="P28" s="87"/>
      <c r="Q28" s="138"/>
    </row>
    <row r="29" spans="1:17" s="66" customFormat="1" ht="28.5" customHeight="1">
      <c r="A29" s="70"/>
      <c r="B29" s="108"/>
      <c r="D29" s="65"/>
      <c r="G29" s="65"/>
      <c r="H29" s="65"/>
      <c r="I29" s="65"/>
      <c r="J29" s="65"/>
      <c r="K29" s="65"/>
      <c r="L29" s="65"/>
      <c r="M29" s="65"/>
      <c r="N29" s="65"/>
      <c r="O29" s="65"/>
      <c r="P29" s="65"/>
      <c r="Q29" s="65"/>
    </row>
    <row r="30" spans="1:17" ht="28.5" customHeight="1">
      <c r="A30" s="70"/>
      <c r="C30" s="67"/>
    </row>
    <row r="31" spans="1:17" ht="28.5" customHeight="1">
      <c r="A31" s="70"/>
      <c r="C31" s="67"/>
    </row>
    <row r="32" spans="1:17" ht="28.5" customHeight="1">
      <c r="A32" s="70"/>
      <c r="C32" s="67"/>
    </row>
    <row r="33" spans="1:45" s="66" customFormat="1" ht="28.5" customHeight="1">
      <c r="A33" s="70"/>
      <c r="B33" s="108"/>
      <c r="D33" s="65"/>
      <c r="G33" s="65"/>
      <c r="H33" s="65"/>
      <c r="I33" s="65"/>
      <c r="J33" s="65"/>
      <c r="K33" s="65"/>
      <c r="L33" s="65"/>
      <c r="M33" s="65"/>
      <c r="N33" s="65"/>
      <c r="O33" s="65"/>
      <c r="P33" s="65"/>
      <c r="Q33" s="65"/>
    </row>
    <row r="34" spans="1:45" ht="28.5" customHeight="1">
      <c r="A34" s="70"/>
      <c r="C34" s="67"/>
    </row>
    <row r="35" spans="1:45" ht="28.5" customHeight="1">
      <c r="A35" s="70"/>
      <c r="C35" s="67"/>
    </row>
    <row r="36" spans="1:45" ht="28.5" customHeight="1">
      <c r="A36" s="70"/>
      <c r="C36" s="67"/>
    </row>
    <row r="37" spans="1:45" ht="28.5" customHeight="1">
      <c r="A37" s="70"/>
      <c r="C37" s="67"/>
    </row>
    <row r="38" spans="1:45" ht="28.5" customHeight="1">
      <c r="A38" s="70"/>
      <c r="C38" s="67"/>
    </row>
    <row r="39" spans="1:45" ht="28.5" customHeight="1">
      <c r="A39" s="70"/>
      <c r="C39" s="67"/>
    </row>
    <row r="40" spans="1:45" ht="28.5" customHeight="1">
      <c r="A40" s="70"/>
      <c r="C40" s="67"/>
    </row>
    <row r="41" spans="1:45" ht="28.5" customHeight="1">
      <c r="A41" s="70"/>
      <c r="C41" s="67"/>
    </row>
    <row r="42" spans="1:45" s="66" customFormat="1" ht="28.5" customHeight="1">
      <c r="A42" s="70"/>
      <c r="B42" s="108"/>
      <c r="D42" s="65"/>
      <c r="G42" s="65"/>
      <c r="H42" s="65"/>
      <c r="I42" s="65"/>
      <c r="J42" s="65"/>
      <c r="K42" s="65"/>
      <c r="L42" s="65"/>
      <c r="M42" s="65"/>
      <c r="N42" s="65"/>
      <c r="O42" s="65"/>
      <c r="P42" s="65"/>
      <c r="Q42" s="65"/>
    </row>
    <row r="43" spans="1:45" ht="28.5" customHeight="1">
      <c r="A43" s="70"/>
      <c r="C43" s="67"/>
    </row>
    <row r="44" spans="1:45" ht="28.5" customHeight="1">
      <c r="A44" s="70"/>
      <c r="C44" s="67"/>
    </row>
    <row r="45" spans="1:45" s="66" customFormat="1" ht="28.5" customHeight="1">
      <c r="A45" s="70"/>
      <c r="B45" s="108"/>
      <c r="D45" s="65"/>
      <c r="G45" s="65"/>
      <c r="H45" s="65"/>
      <c r="I45" s="65"/>
      <c r="J45" s="65"/>
      <c r="K45" s="65"/>
      <c r="L45" s="65"/>
      <c r="M45" s="65"/>
      <c r="N45" s="65"/>
      <c r="O45" s="65"/>
      <c r="P45" s="65"/>
      <c r="Q45" s="65"/>
    </row>
    <row r="46" spans="1:45" ht="28.5" customHeight="1">
      <c r="A46" s="70"/>
      <c r="C46" s="67"/>
    </row>
    <row r="47" spans="1:45" s="66" customFormat="1" ht="28.5" customHeight="1">
      <c r="A47" s="70"/>
      <c r="B47" s="110"/>
      <c r="D47" s="65"/>
      <c r="G47" s="65"/>
      <c r="H47" s="65"/>
      <c r="I47" s="65"/>
      <c r="J47" s="65"/>
      <c r="K47" s="65"/>
      <c r="L47" s="65"/>
      <c r="M47" s="65"/>
      <c r="N47" s="65"/>
      <c r="O47" s="65"/>
      <c r="P47" s="65"/>
      <c r="Q47" s="65"/>
      <c r="AK47" s="94"/>
    </row>
    <row r="48" spans="1:45" ht="28.5" customHeight="1">
      <c r="A48" s="70"/>
      <c r="C48" s="66"/>
      <c r="AM48" s="68"/>
      <c r="AN48" s="68"/>
      <c r="AO48" s="68"/>
      <c r="AP48" s="68"/>
      <c r="AQ48" s="68"/>
      <c r="AR48" s="68"/>
      <c r="AS48" s="68"/>
    </row>
    <row r="49" spans="1:45" ht="28.5" customHeight="1">
      <c r="A49" s="70"/>
      <c r="AM49" s="68"/>
      <c r="AN49" s="68"/>
      <c r="AO49" s="68"/>
      <c r="AP49" s="68"/>
      <c r="AQ49" s="68"/>
      <c r="AR49" s="68"/>
      <c r="AS49" s="68"/>
    </row>
    <row r="50" spans="1:45" ht="28.5" customHeight="1">
      <c r="C50" s="67"/>
    </row>
    <row r="51" spans="1:45" ht="28.5" customHeight="1">
      <c r="C51" s="67"/>
    </row>
    <row r="52" spans="1:45" ht="28.5" customHeight="1">
      <c r="C52" s="67"/>
    </row>
    <row r="53" spans="1:45" ht="28.5" customHeight="1">
      <c r="C53" s="67"/>
    </row>
    <row r="54" spans="1:45" ht="28.5" customHeight="1">
      <c r="C54" s="67"/>
    </row>
    <row r="55" spans="1:45" ht="28.5" customHeight="1">
      <c r="C55" s="67"/>
    </row>
    <row r="56" spans="1:45" s="66" customFormat="1" ht="28.5" customHeight="1">
      <c r="A56" s="1"/>
      <c r="B56" s="108"/>
      <c r="D56" s="65"/>
      <c r="G56" s="65"/>
      <c r="H56" s="65"/>
      <c r="I56" s="65"/>
      <c r="J56" s="65"/>
      <c r="K56" s="65"/>
      <c r="L56" s="65"/>
      <c r="M56" s="65"/>
      <c r="N56" s="65"/>
      <c r="O56" s="65"/>
      <c r="P56" s="65"/>
      <c r="Q56" s="65"/>
    </row>
    <row r="57" spans="1:45" s="66" customFormat="1" ht="28.5" customHeight="1">
      <c r="A57" s="1"/>
      <c r="B57" s="108"/>
      <c r="D57" s="65"/>
      <c r="G57" s="65"/>
      <c r="H57" s="65"/>
      <c r="I57" s="65"/>
      <c r="J57" s="65"/>
      <c r="K57" s="65"/>
      <c r="L57" s="65"/>
      <c r="M57" s="65"/>
      <c r="N57" s="65"/>
      <c r="O57" s="65"/>
      <c r="P57" s="65"/>
      <c r="Q57" s="65"/>
    </row>
  </sheetData>
  <mergeCells count="22">
    <mergeCell ref="F1:F2"/>
    <mergeCell ref="G1:G2"/>
    <mergeCell ref="H1:H2"/>
    <mergeCell ref="A1:A2"/>
    <mergeCell ref="B1:B2"/>
    <mergeCell ref="C1:C2"/>
    <mergeCell ref="D1:D2"/>
    <mergeCell ref="E1:E2"/>
    <mergeCell ref="GW1:HD1"/>
    <mergeCell ref="BF1:BG1"/>
    <mergeCell ref="I1:I2"/>
    <mergeCell ref="Q1:Q2"/>
    <mergeCell ref="K1:K2"/>
    <mergeCell ref="L1:L2"/>
    <mergeCell ref="M1:M2"/>
    <mergeCell ref="J1:J2"/>
    <mergeCell ref="EZ1:EZ2"/>
    <mergeCell ref="FA1:FA2"/>
    <mergeCell ref="FB1:FB2"/>
    <mergeCell ref="N1:N2"/>
    <mergeCell ref="O1:O2"/>
    <mergeCell ref="P1:P2"/>
  </mergeCells>
  <conditionalFormatting sqref="C25:F25">
    <cfRule type="duplicateValues" dxfId="12" priority="5"/>
  </conditionalFormatting>
  <conditionalFormatting sqref="C26:F26">
    <cfRule type="duplicateValues" dxfId="11" priority="7"/>
  </conditionalFormatting>
  <hyperlinks>
    <hyperlink ref="B10" r:id="rId1" display="https://pubmed-ncbi-nlm-nih-gov.proxy.insermbiblio.inist.fr/?term=Sheen+YS&amp;cauthor_id=25767048" xr:uid="{9783B5A2-B2D3-4668-B90F-AE901315D29B}"/>
    <hyperlink ref="B14" r:id="rId2" display="https://pubmed-ncbi-nlm-nih-gov.proxy.insermbiblio.inist.fr/?term=Kong+Y&amp;cauthor_id=21325067" xr:uid="{1C7FA9EE-079E-44DD-9160-0031F7344018}"/>
    <hyperlink ref="B9" r:id="rId3" display="https://pubmed-ncbi-nlm-nih-gov.proxy.insermbiblio.inist.fr/?term=Kaji+T&amp;cauthor_id=27771229" xr:uid="{9AE8EA73-29BC-448B-9A2F-326CFFF405B0}"/>
    <hyperlink ref="B7" r:id="rId4" display="https://pubmed-ncbi-nlm-nih-gov.proxy.insermbiblio.inist.fr/?term=Lee+SH&amp;cauthor_id=29361821" xr:uid="{5DAC2F63-3780-4454-B5E7-EA3D1F7B9955}"/>
    <hyperlink ref="B3" r:id="rId5" display="https://pubmed-ncbi-nlm-nih-gov.proxy.insermbiblio.inist.fr/?term=Sheen+YS&amp;cauthor_id=31408190" xr:uid="{999E0C2F-C8B5-416C-868C-99A12E2C9520}"/>
  </hyperlinks>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828F8-5DB8-4A8C-B31F-2DD5E4EF5C8A}">
  <dimension ref="A1:SQ57"/>
  <sheetViews>
    <sheetView zoomScale="83" zoomScaleNormal="85" workbookViewId="0">
      <pane ySplit="2" topLeftCell="A3" activePane="bottomLeft" state="frozen"/>
      <selection activeCell="F1" sqref="F1"/>
      <selection pane="bottomLeft" activeCell="F17" sqref="F17"/>
    </sheetView>
  </sheetViews>
  <sheetFormatPr defaultColWidth="8.6640625" defaultRowHeight="15"/>
  <cols>
    <col min="1" max="1" width="6" style="129" customWidth="1"/>
    <col min="2" max="2" width="27.109375" style="117" customWidth="1"/>
    <col min="3" max="3" width="9.109375" style="2" customWidth="1"/>
    <col min="4" max="4" width="14.6640625" style="116" customWidth="1"/>
    <col min="5" max="7" width="11.5546875" style="117" customWidth="1"/>
    <col min="8" max="8" width="9.88671875" style="116" customWidth="1"/>
    <col min="9" max="9" width="9.109375" style="131" customWidth="1"/>
    <col min="10" max="10" width="12" style="131" customWidth="1"/>
    <col min="11" max="11" width="9.109375" style="131" customWidth="1"/>
    <col min="12" max="12" width="6.6640625" style="131" customWidth="1"/>
    <col min="13" max="13" width="12.109375" style="131" customWidth="1"/>
    <col min="14" max="14" width="13.109375" style="131" customWidth="1"/>
    <col min="15" max="15" width="10.109375" style="131" customWidth="1"/>
    <col min="16" max="16" width="10.6640625" style="131" customWidth="1"/>
    <col min="17" max="17" width="9.109375" style="131" customWidth="1"/>
    <col min="18" max="18" width="9.109375" style="65" customWidth="1"/>
    <col min="19" max="156" width="11.33203125" style="139" customWidth="1"/>
    <col min="157" max="157" width="11.88671875" style="67" customWidth="1"/>
    <col min="158" max="158" width="13.6640625" style="139" customWidth="1"/>
    <col min="159" max="159" width="11.109375" style="139" customWidth="1"/>
    <col min="160" max="160" width="29.6640625" style="139" customWidth="1"/>
    <col min="161" max="161" width="12.109375" style="139" customWidth="1"/>
    <col min="162" max="162" width="10.109375" style="139" customWidth="1"/>
    <col min="163" max="206" width="11.44140625" style="139" customWidth="1"/>
    <col min="207" max="209" width="8.6640625" style="139"/>
    <col min="210" max="263" width="8.6640625" style="117"/>
    <col min="264" max="264" width="11.5546875" style="117" customWidth="1"/>
    <col min="265" max="265" width="19.5546875" style="117" bestFit="1" customWidth="1"/>
    <col min="266" max="266" width="19.44140625" style="117" bestFit="1" customWidth="1"/>
    <col min="267" max="267" width="13.109375" style="131" customWidth="1"/>
    <col min="268" max="405" width="11.33203125" style="139" customWidth="1"/>
    <col min="406" max="406" width="11.88671875" style="139" customWidth="1"/>
    <col min="407" max="407" width="13.6640625" style="139" customWidth="1"/>
    <col min="408" max="408" width="11.109375" style="139" customWidth="1"/>
    <col min="409" max="409" width="29.6640625" style="139" customWidth="1"/>
    <col min="410" max="410" width="12.109375" style="139" customWidth="1"/>
    <col min="411" max="411" width="10.109375" style="139" customWidth="1"/>
    <col min="412" max="455" width="11.44140625" style="139" customWidth="1"/>
    <col min="456" max="458" width="8.6640625" style="139"/>
    <col min="459" max="16384" width="8.6640625" style="117"/>
  </cols>
  <sheetData>
    <row r="1" spans="1:511" s="142" customFormat="1" ht="34.200000000000003" customHeight="1">
      <c r="A1" s="168" t="s">
        <v>15</v>
      </c>
      <c r="B1" s="168" t="s">
        <v>0</v>
      </c>
      <c r="C1" s="175" t="s">
        <v>383</v>
      </c>
      <c r="D1" s="167" t="s">
        <v>386</v>
      </c>
      <c r="E1" s="167" t="s">
        <v>514</v>
      </c>
      <c r="F1" s="180" t="s">
        <v>632</v>
      </c>
      <c r="G1" s="180" t="s">
        <v>736</v>
      </c>
      <c r="H1" s="184" t="s">
        <v>621</v>
      </c>
      <c r="I1" s="184" t="s">
        <v>622</v>
      </c>
      <c r="J1" s="184" t="s">
        <v>518</v>
      </c>
      <c r="K1" s="184" t="s">
        <v>520</v>
      </c>
      <c r="L1" s="166" t="s">
        <v>519</v>
      </c>
      <c r="M1" s="166" t="s">
        <v>623</v>
      </c>
      <c r="N1" s="166" t="s">
        <v>624</v>
      </c>
      <c r="O1" s="166" t="s">
        <v>521</v>
      </c>
      <c r="P1" s="166" t="s">
        <v>522</v>
      </c>
      <c r="Q1" s="166" t="s">
        <v>523</v>
      </c>
      <c r="R1" s="171" t="s">
        <v>4</v>
      </c>
      <c r="S1" s="177" t="s">
        <v>17</v>
      </c>
      <c r="T1" s="178"/>
      <c r="U1" s="178"/>
      <c r="V1" s="178"/>
      <c r="W1" s="178"/>
      <c r="X1" s="178"/>
      <c r="Y1" s="178"/>
      <c r="Z1" s="178"/>
      <c r="AA1" s="178"/>
      <c r="AB1" s="178"/>
      <c r="AC1" s="178"/>
      <c r="AD1" s="178"/>
      <c r="AE1" s="178"/>
      <c r="AF1" s="178"/>
      <c r="AG1" s="178"/>
      <c r="AH1" s="178"/>
      <c r="AI1" s="178"/>
      <c r="AJ1" s="178"/>
      <c r="AK1" s="178"/>
      <c r="AL1" s="178"/>
      <c r="AM1" s="178"/>
      <c r="AN1" s="178"/>
      <c r="AO1" s="178"/>
      <c r="AP1" s="178"/>
      <c r="AQ1" s="178"/>
      <c r="AR1" s="178"/>
      <c r="AS1" s="178"/>
      <c r="AT1" s="178"/>
      <c r="AU1" s="178"/>
      <c r="AV1" s="178"/>
      <c r="AW1" s="178"/>
      <c r="AX1" s="178"/>
      <c r="AY1" s="178"/>
      <c r="AZ1" s="178"/>
      <c r="BA1" s="178"/>
      <c r="BB1" s="178"/>
      <c r="BC1" s="178"/>
      <c r="BD1" s="178"/>
      <c r="BE1" s="178"/>
      <c r="BF1" s="178"/>
      <c r="BG1" s="178"/>
      <c r="BH1" s="178"/>
      <c r="BI1" s="178"/>
      <c r="BJ1" s="178"/>
      <c r="BK1" s="178"/>
      <c r="BL1" s="178"/>
      <c r="BM1" s="178"/>
      <c r="BN1" s="178"/>
      <c r="BO1" s="178"/>
      <c r="BP1" s="178"/>
      <c r="BQ1" s="178"/>
      <c r="BR1" s="178"/>
      <c r="BS1" s="178"/>
      <c r="BT1" s="178"/>
      <c r="BU1" s="178"/>
      <c r="BV1" s="178"/>
      <c r="BW1" s="178"/>
      <c r="BX1" s="178"/>
      <c r="BY1" s="178"/>
      <c r="BZ1" s="178"/>
      <c r="CA1" s="178"/>
      <c r="CB1" s="178"/>
      <c r="CC1" s="178"/>
      <c r="CD1" s="178"/>
      <c r="CE1" s="178"/>
      <c r="CF1" s="178"/>
      <c r="CG1" s="178"/>
      <c r="CH1" s="178"/>
      <c r="CI1" s="178"/>
      <c r="CJ1" s="178"/>
      <c r="CK1" s="178"/>
      <c r="CL1" s="178"/>
      <c r="CM1" s="178"/>
      <c r="CN1" s="178"/>
      <c r="CO1" s="178"/>
      <c r="CP1" s="178"/>
      <c r="CQ1" s="178"/>
      <c r="CR1" s="178"/>
      <c r="CS1" s="178"/>
      <c r="CT1" s="178"/>
      <c r="CU1" s="178"/>
      <c r="CV1" s="178"/>
      <c r="CW1" s="178"/>
      <c r="CX1" s="178"/>
      <c r="CY1" s="178"/>
      <c r="CZ1" s="178"/>
      <c r="DA1" s="178"/>
      <c r="DB1" s="178"/>
      <c r="DC1" s="178"/>
      <c r="DD1" s="178"/>
      <c r="DE1" s="178"/>
      <c r="DF1" s="178"/>
      <c r="DG1" s="178"/>
      <c r="DH1" s="178"/>
      <c r="DI1" s="178"/>
      <c r="DJ1" s="178"/>
      <c r="DK1" s="178"/>
      <c r="DL1" s="178"/>
      <c r="DM1" s="178"/>
      <c r="DN1" s="178"/>
      <c r="DO1" s="178"/>
      <c r="DP1" s="178"/>
      <c r="DQ1" s="178"/>
      <c r="DR1" s="178"/>
      <c r="DS1" s="178"/>
      <c r="DT1" s="178"/>
      <c r="DU1" s="178"/>
      <c r="DV1" s="178"/>
      <c r="DW1" s="178"/>
      <c r="DX1" s="178"/>
      <c r="DY1" s="178"/>
      <c r="DZ1" s="178"/>
      <c r="EA1" s="178"/>
      <c r="EB1" s="178"/>
      <c r="EC1" s="178"/>
      <c r="ED1" s="178"/>
      <c r="EE1" s="178"/>
      <c r="EF1" s="178"/>
      <c r="EG1" s="178"/>
      <c r="EH1" s="178"/>
      <c r="EI1" s="178"/>
      <c r="EJ1" s="178"/>
      <c r="EK1" s="178"/>
      <c r="EL1" s="178"/>
      <c r="EM1" s="178"/>
      <c r="EN1" s="178"/>
      <c r="EO1" s="178"/>
      <c r="EP1" s="178"/>
      <c r="EQ1" s="178"/>
      <c r="ER1" s="178"/>
      <c r="ES1" s="178"/>
      <c r="ET1" s="178"/>
      <c r="EU1" s="178"/>
      <c r="EV1" s="178"/>
      <c r="EW1" s="178"/>
      <c r="EX1" s="178"/>
      <c r="EY1" s="178"/>
      <c r="EZ1" s="179"/>
      <c r="FA1" s="172" t="s">
        <v>383</v>
      </c>
      <c r="FB1" s="186" t="s">
        <v>461</v>
      </c>
      <c r="FC1" s="167" t="s">
        <v>387</v>
      </c>
      <c r="FD1" s="180" t="s">
        <v>550</v>
      </c>
      <c r="FE1" s="182" t="s">
        <v>462</v>
      </c>
      <c r="FF1" s="182" t="s">
        <v>390</v>
      </c>
      <c r="FG1" s="177" t="s">
        <v>18</v>
      </c>
      <c r="FH1" s="178"/>
      <c r="FI1" s="178"/>
      <c r="FJ1" s="178"/>
      <c r="FK1" s="178"/>
      <c r="FL1" s="178"/>
      <c r="FM1" s="178"/>
      <c r="FN1" s="178"/>
      <c r="FO1" s="178"/>
      <c r="FP1" s="178"/>
      <c r="FQ1" s="178"/>
      <c r="FR1" s="178"/>
      <c r="FS1" s="178"/>
      <c r="FT1" s="178"/>
      <c r="FU1" s="178"/>
      <c r="FV1" s="178"/>
      <c r="FW1" s="178"/>
      <c r="FX1" s="178"/>
      <c r="FY1" s="178"/>
      <c r="FZ1" s="178"/>
      <c r="GA1" s="178"/>
      <c r="GB1" s="178"/>
      <c r="GC1" s="178"/>
      <c r="GD1" s="178"/>
      <c r="GE1" s="178"/>
      <c r="GF1" s="178"/>
      <c r="GG1" s="178"/>
      <c r="GH1" s="178"/>
      <c r="GI1" s="178"/>
      <c r="GJ1" s="178"/>
      <c r="GK1" s="178"/>
      <c r="GL1" s="178"/>
      <c r="GM1" s="178"/>
      <c r="GN1" s="178"/>
      <c r="GO1" s="178"/>
      <c r="GP1" s="178"/>
      <c r="GQ1" s="178"/>
      <c r="GR1" s="178"/>
      <c r="GS1" s="178"/>
      <c r="GT1" s="178"/>
      <c r="GU1" s="178"/>
      <c r="GV1" s="178"/>
      <c r="GW1" s="178"/>
      <c r="GX1" s="178"/>
      <c r="GY1" s="178"/>
      <c r="GZ1" s="178"/>
      <c r="HA1" s="178"/>
      <c r="HB1" s="178"/>
      <c r="HC1" s="178"/>
      <c r="HD1" s="178"/>
      <c r="HE1" s="178"/>
      <c r="HF1" s="178"/>
      <c r="HG1" s="178"/>
      <c r="HH1" s="178"/>
      <c r="HI1" s="178"/>
      <c r="HJ1" s="178"/>
      <c r="HK1" s="178"/>
      <c r="HL1" s="178"/>
      <c r="HM1" s="178"/>
      <c r="HN1" s="178"/>
      <c r="HO1" s="178"/>
      <c r="HP1" s="178"/>
      <c r="HQ1" s="178"/>
      <c r="HR1" s="178"/>
      <c r="HS1" s="178"/>
      <c r="HT1" s="178"/>
      <c r="HU1" s="178"/>
      <c r="HV1" s="178"/>
      <c r="HW1" s="178"/>
      <c r="HX1" s="178"/>
      <c r="HY1" s="178"/>
      <c r="HZ1" s="178"/>
      <c r="IA1" s="178"/>
      <c r="IB1" s="178"/>
      <c r="IC1" s="178"/>
      <c r="ID1" s="178"/>
      <c r="IE1" s="178"/>
      <c r="IF1" s="178"/>
      <c r="IG1" s="178"/>
      <c r="IH1" s="178"/>
      <c r="II1" s="178"/>
      <c r="IJ1" s="178"/>
      <c r="IK1" s="178"/>
      <c r="IL1" s="178"/>
      <c r="IM1" s="178"/>
      <c r="IN1" s="178"/>
      <c r="IO1" s="178"/>
      <c r="IP1" s="178"/>
      <c r="IQ1" s="178"/>
      <c r="IR1" s="178"/>
      <c r="IS1" s="178"/>
      <c r="IT1" s="178"/>
      <c r="IU1" s="178"/>
      <c r="IV1" s="178"/>
      <c r="IW1" s="178"/>
      <c r="IX1" s="178"/>
      <c r="IY1" s="178"/>
      <c r="IZ1" s="178"/>
      <c r="JA1" s="178"/>
      <c r="JB1" s="178"/>
      <c r="JC1" s="179"/>
      <c r="JD1" s="180" t="s">
        <v>632</v>
      </c>
      <c r="JE1" s="180" t="s">
        <v>736</v>
      </c>
      <c r="JF1" s="188" t="s">
        <v>738</v>
      </c>
      <c r="JG1" s="184" t="s">
        <v>737</v>
      </c>
      <c r="JH1" s="140" t="s">
        <v>731</v>
      </c>
      <c r="JI1" s="140"/>
      <c r="JJ1" s="140"/>
      <c r="JK1" s="140"/>
      <c r="JL1" s="140"/>
      <c r="JM1" s="140"/>
      <c r="JN1" s="140"/>
      <c r="JO1" s="140"/>
      <c r="JP1" s="140"/>
      <c r="JQ1" s="140"/>
      <c r="JR1" s="140"/>
      <c r="JS1" s="140"/>
      <c r="JT1" s="140"/>
      <c r="JU1" s="140"/>
      <c r="JV1" s="140"/>
      <c r="JW1" s="140"/>
      <c r="JX1" s="140"/>
      <c r="JY1" s="140"/>
      <c r="JZ1" s="140"/>
      <c r="KA1" s="140"/>
      <c r="KB1" s="140"/>
      <c r="KC1" s="140"/>
      <c r="KD1" s="140"/>
      <c r="KE1" s="140"/>
      <c r="KF1" s="140"/>
      <c r="KG1" s="140"/>
      <c r="KH1" s="140"/>
      <c r="KI1" s="140"/>
      <c r="KJ1" s="140"/>
      <c r="KK1" s="140"/>
      <c r="KL1" s="140"/>
      <c r="KM1" s="140"/>
      <c r="KN1" s="140"/>
      <c r="KO1" s="140"/>
      <c r="KP1" s="140"/>
      <c r="KQ1" s="140"/>
      <c r="KR1" s="140"/>
      <c r="KS1" s="140"/>
      <c r="KT1" s="140"/>
      <c r="KU1" s="140"/>
      <c r="KV1" s="187"/>
      <c r="KW1" s="187"/>
      <c r="KX1" s="141"/>
      <c r="KY1" s="141"/>
      <c r="KZ1" s="141"/>
      <c r="LA1" s="141"/>
      <c r="LB1" s="141"/>
      <c r="LC1" s="141"/>
      <c r="LD1" s="141"/>
      <c r="LE1" s="141"/>
      <c r="LF1" s="141"/>
      <c r="LG1" s="141"/>
      <c r="LH1" s="141"/>
      <c r="LI1" s="141"/>
      <c r="LJ1" s="141"/>
      <c r="LK1" s="141"/>
      <c r="LL1" s="141"/>
      <c r="LM1" s="141"/>
      <c r="LN1" s="141"/>
      <c r="LO1" s="141"/>
      <c r="LP1" s="141"/>
      <c r="LQ1" s="141"/>
      <c r="LR1" s="141"/>
      <c r="LS1" s="141"/>
      <c r="LT1" s="141"/>
      <c r="LU1" s="141"/>
      <c r="LV1" s="141"/>
      <c r="LW1" s="141"/>
      <c r="LX1" s="141"/>
      <c r="LY1" s="141"/>
      <c r="LZ1" s="141"/>
      <c r="MA1" s="141"/>
      <c r="MB1" s="141"/>
      <c r="MC1" s="141"/>
      <c r="MD1" s="141"/>
      <c r="ME1" s="141"/>
      <c r="MF1" s="141"/>
      <c r="MG1" s="141"/>
      <c r="MH1" s="141"/>
      <c r="MI1" s="141"/>
      <c r="MJ1" s="141"/>
      <c r="MK1" s="141"/>
      <c r="ML1" s="141"/>
      <c r="MM1" s="141"/>
      <c r="MN1" s="141"/>
      <c r="MO1" s="141"/>
      <c r="MP1" s="141"/>
      <c r="MQ1" s="141"/>
      <c r="MR1" s="141"/>
      <c r="MS1" s="141"/>
      <c r="MT1" s="141"/>
      <c r="MU1" s="141"/>
      <c r="MV1" s="141"/>
      <c r="MW1" s="141"/>
      <c r="MX1" s="141"/>
      <c r="MY1" s="141"/>
      <c r="MZ1" s="141"/>
      <c r="NA1" s="141"/>
      <c r="NB1" s="141"/>
      <c r="NC1" s="141"/>
      <c r="ND1" s="141"/>
      <c r="NE1" s="141"/>
      <c r="NF1" s="141"/>
      <c r="NG1" s="141"/>
      <c r="NH1" s="141"/>
      <c r="NI1" s="141"/>
      <c r="NJ1" s="141"/>
      <c r="NK1" s="141"/>
      <c r="NL1" s="141"/>
      <c r="NM1" s="141"/>
      <c r="NN1" s="141"/>
      <c r="NO1" s="141"/>
      <c r="NP1" s="141"/>
      <c r="NQ1" s="141"/>
      <c r="NR1" s="141"/>
      <c r="NS1" s="141"/>
      <c r="NT1" s="141"/>
      <c r="NU1" s="141"/>
      <c r="NV1" s="141"/>
      <c r="NW1" s="141"/>
      <c r="NX1" s="141"/>
      <c r="NY1" s="141"/>
      <c r="NZ1" s="141"/>
      <c r="OA1" s="141"/>
      <c r="OB1" s="141"/>
      <c r="OC1" s="141"/>
      <c r="OD1" s="141"/>
      <c r="OE1" s="141"/>
      <c r="OF1" s="141"/>
      <c r="OG1" s="141"/>
      <c r="OH1" s="141"/>
      <c r="OI1" s="141"/>
      <c r="OJ1" s="141"/>
      <c r="OK1" s="141"/>
      <c r="OL1" s="141"/>
      <c r="OM1" s="141"/>
      <c r="ON1" s="141"/>
      <c r="OO1" s="141"/>
      <c r="OP1" s="187" t="s">
        <v>383</v>
      </c>
      <c r="OQ1" s="186" t="s">
        <v>461</v>
      </c>
      <c r="OR1" s="167" t="s">
        <v>387</v>
      </c>
      <c r="OS1" s="180" t="s">
        <v>550</v>
      </c>
      <c r="OT1" s="182" t="s">
        <v>462</v>
      </c>
      <c r="OU1" s="182" t="s">
        <v>390</v>
      </c>
      <c r="OV1" s="140" t="s">
        <v>732</v>
      </c>
      <c r="OW1" s="140"/>
      <c r="OX1" s="140"/>
      <c r="OY1" s="140"/>
      <c r="OZ1" s="140"/>
      <c r="PA1" s="140"/>
      <c r="PB1" s="140"/>
      <c r="PC1" s="140"/>
      <c r="PD1" s="140"/>
      <c r="PE1" s="140"/>
      <c r="PF1" s="140"/>
      <c r="PG1" s="140"/>
      <c r="PH1" s="140"/>
      <c r="PI1" s="140"/>
      <c r="PJ1" s="140"/>
      <c r="PK1" s="140"/>
      <c r="PL1" s="140"/>
      <c r="PM1" s="140"/>
      <c r="PN1" s="140"/>
      <c r="PO1" s="140"/>
      <c r="PP1" s="140"/>
      <c r="PQ1" s="140"/>
      <c r="PR1" s="140"/>
      <c r="PS1" s="140"/>
      <c r="PT1" s="140"/>
      <c r="PU1" s="140"/>
      <c r="PV1" s="140"/>
      <c r="PW1" s="140"/>
      <c r="PX1" s="140"/>
      <c r="PY1" s="140"/>
      <c r="PZ1" s="140"/>
      <c r="QA1" s="140"/>
      <c r="QB1" s="140"/>
      <c r="QC1" s="140"/>
      <c r="QD1" s="140"/>
      <c r="QE1" s="140"/>
      <c r="QF1" s="140"/>
      <c r="QG1" s="140"/>
      <c r="QH1" s="140"/>
      <c r="QI1" s="140"/>
      <c r="QJ1" s="140"/>
      <c r="QK1" s="140"/>
      <c r="QL1" s="140"/>
      <c r="QM1" s="187"/>
      <c r="QN1" s="187"/>
      <c r="QO1" s="187"/>
      <c r="QP1" s="187"/>
      <c r="QQ1" s="187"/>
      <c r="QR1" s="187"/>
      <c r="QS1" s="187"/>
      <c r="QT1" s="187"/>
      <c r="QU1" s="141"/>
      <c r="QV1" s="140"/>
      <c r="QW1" s="140"/>
      <c r="QX1" s="140"/>
      <c r="QY1" s="140"/>
      <c r="QZ1" s="140"/>
      <c r="RA1" s="140"/>
      <c r="RB1" s="140"/>
      <c r="RC1" s="140"/>
      <c r="RD1" s="140"/>
      <c r="RE1" s="140"/>
      <c r="RF1" s="140"/>
      <c r="RG1" s="140"/>
      <c r="RH1" s="140"/>
      <c r="RI1" s="140"/>
      <c r="RJ1" s="140"/>
      <c r="RK1" s="140"/>
      <c r="RL1" s="140"/>
      <c r="RM1" s="140"/>
      <c r="RN1" s="140"/>
      <c r="RO1" s="140"/>
      <c r="RP1" s="140"/>
      <c r="RQ1" s="140"/>
      <c r="RR1" s="140"/>
      <c r="RS1" s="140"/>
      <c r="RT1" s="140"/>
      <c r="RU1" s="140"/>
      <c r="RV1" s="140"/>
      <c r="RW1" s="140"/>
      <c r="RX1" s="140"/>
      <c r="RY1" s="140"/>
      <c r="RZ1" s="140"/>
      <c r="SA1" s="140"/>
      <c r="SB1" s="140"/>
      <c r="SC1" s="140"/>
      <c r="SD1" s="140"/>
      <c r="SE1" s="140"/>
      <c r="SF1" s="140"/>
      <c r="SG1" s="140"/>
      <c r="SH1" s="140"/>
      <c r="SI1" s="140"/>
      <c r="SJ1" s="140"/>
      <c r="SK1" s="140"/>
      <c r="SL1" s="140"/>
      <c r="SM1" s="140"/>
      <c r="SN1" s="140"/>
      <c r="SO1" s="140"/>
      <c r="SP1" s="140"/>
      <c r="SQ1" s="140"/>
    </row>
    <row r="2" spans="1:511" s="145" customFormat="1" ht="54" customHeight="1">
      <c r="A2" s="168"/>
      <c r="B2" s="168"/>
      <c r="C2" s="175"/>
      <c r="D2" s="167"/>
      <c r="E2" s="167"/>
      <c r="F2" s="181"/>
      <c r="G2" s="181"/>
      <c r="H2" s="185"/>
      <c r="I2" s="185"/>
      <c r="J2" s="185"/>
      <c r="K2" s="185"/>
      <c r="L2" s="166"/>
      <c r="M2" s="166"/>
      <c r="N2" s="166"/>
      <c r="O2" s="166"/>
      <c r="P2" s="166"/>
      <c r="Q2" s="166"/>
      <c r="R2" s="171"/>
      <c r="S2" s="143" t="s">
        <v>569</v>
      </c>
      <c r="T2" s="143" t="s">
        <v>608</v>
      </c>
      <c r="U2" s="143" t="s">
        <v>717</v>
      </c>
      <c r="V2" s="143" t="s">
        <v>609</v>
      </c>
      <c r="W2" s="143" t="s">
        <v>643</v>
      </c>
      <c r="X2" s="143" t="s">
        <v>560</v>
      </c>
      <c r="Y2" s="143" t="s">
        <v>598</v>
      </c>
      <c r="Z2" s="143" t="s">
        <v>30</v>
      </c>
      <c r="AA2" s="143" t="s">
        <v>660</v>
      </c>
      <c r="AB2" s="143" t="s">
        <v>571</v>
      </c>
      <c r="AC2" s="143" t="s">
        <v>22</v>
      </c>
      <c r="AD2" s="143" t="s">
        <v>677</v>
      </c>
      <c r="AE2" s="143" t="s">
        <v>713</v>
      </c>
      <c r="AF2" s="143" t="s">
        <v>577</v>
      </c>
      <c r="AG2" s="143" t="s">
        <v>530</v>
      </c>
      <c r="AH2" s="143" t="s">
        <v>595</v>
      </c>
      <c r="AI2" s="143" t="s">
        <v>578</v>
      </c>
      <c r="AJ2" s="143" t="s">
        <v>548</v>
      </c>
      <c r="AK2" s="143" t="s">
        <v>697</v>
      </c>
      <c r="AL2" s="143" t="s">
        <v>579</v>
      </c>
      <c r="AM2" s="143" t="s">
        <v>580</v>
      </c>
      <c r="AN2" s="143" t="s">
        <v>561</v>
      </c>
      <c r="AO2" s="143" t="s">
        <v>581</v>
      </c>
      <c r="AP2" s="143" t="s">
        <v>647</v>
      </c>
      <c r="AQ2" s="143" t="s">
        <v>534</v>
      </c>
      <c r="AR2" s="143" t="s">
        <v>709</v>
      </c>
      <c r="AS2" s="143" t="s">
        <v>544</v>
      </c>
      <c r="AT2" s="143" t="s">
        <v>678</v>
      </c>
      <c r="AU2" s="143" t="s">
        <v>582</v>
      </c>
      <c r="AV2" s="143" t="s">
        <v>696</v>
      </c>
      <c r="AW2" s="143" t="s">
        <v>603</v>
      </c>
      <c r="AX2" s="143" t="s">
        <v>693</v>
      </c>
      <c r="AY2" s="143" t="s">
        <v>674</v>
      </c>
      <c r="AZ2" s="143" t="s">
        <v>701</v>
      </c>
      <c r="BA2" s="143" t="s">
        <v>695</v>
      </c>
      <c r="BB2" s="143" t="s">
        <v>562</v>
      </c>
      <c r="BC2" s="143" t="s">
        <v>565</v>
      </c>
      <c r="BD2" s="143" t="s">
        <v>180</v>
      </c>
      <c r="BE2" s="143" t="s">
        <v>563</v>
      </c>
      <c r="BF2" s="143" t="s">
        <v>640</v>
      </c>
      <c r="BG2" s="143" t="s">
        <v>583</v>
      </c>
      <c r="BH2" s="143" t="s">
        <v>584</v>
      </c>
      <c r="BI2" s="143" t="s">
        <v>585</v>
      </c>
      <c r="BJ2" s="143" t="s">
        <v>586</v>
      </c>
      <c r="BK2" s="143" t="s">
        <v>601</v>
      </c>
      <c r="BL2" s="143" t="s">
        <v>599</v>
      </c>
      <c r="BM2" s="143" t="s">
        <v>610</v>
      </c>
      <c r="BN2" s="143" t="s">
        <v>587</v>
      </c>
      <c r="BO2" s="143" t="s">
        <v>574</v>
      </c>
      <c r="BP2" s="143" t="s">
        <v>708</v>
      </c>
      <c r="BQ2" s="143" t="s">
        <v>604</v>
      </c>
      <c r="BR2" s="143" t="s">
        <v>556</v>
      </c>
      <c r="BS2" s="143" t="s">
        <v>614</v>
      </c>
      <c r="BT2" s="143" t="s">
        <v>634</v>
      </c>
      <c r="BU2" s="143" t="s">
        <v>716</v>
      </c>
      <c r="BV2" s="143" t="s">
        <v>704</v>
      </c>
      <c r="BW2" s="143" t="s">
        <v>572</v>
      </c>
      <c r="BX2" s="143" t="s">
        <v>588</v>
      </c>
      <c r="BY2" s="143" t="s">
        <v>557</v>
      </c>
      <c r="BZ2" s="143" t="s">
        <v>597</v>
      </c>
      <c r="CA2" s="143" t="s">
        <v>698</v>
      </c>
      <c r="CB2" s="143" t="s">
        <v>687</v>
      </c>
      <c r="CC2" s="143" t="s">
        <v>612</v>
      </c>
      <c r="CD2" s="143" t="s">
        <v>613</v>
      </c>
      <c r="CE2" s="143" t="s">
        <v>705</v>
      </c>
      <c r="CF2" s="143" t="s">
        <v>596</v>
      </c>
      <c r="CG2" s="143" t="s">
        <v>551</v>
      </c>
      <c r="CH2" s="143" t="s">
        <v>703</v>
      </c>
      <c r="CI2" s="143" t="s">
        <v>553</v>
      </c>
      <c r="CJ2" s="143" t="s">
        <v>543</v>
      </c>
      <c r="CK2" s="143" t="s">
        <v>555</v>
      </c>
      <c r="CL2" s="143" t="s">
        <v>721</v>
      </c>
      <c r="CM2" s="143" t="s">
        <v>589</v>
      </c>
      <c r="CN2" s="143" t="s">
        <v>700</v>
      </c>
      <c r="CO2" s="143" t="s">
        <v>559</v>
      </c>
      <c r="CP2" s="143" t="s">
        <v>699</v>
      </c>
      <c r="CQ2" s="143" t="s">
        <v>605</v>
      </c>
      <c r="CR2" s="143" t="s">
        <v>570</v>
      </c>
      <c r="CS2" s="143" t="s">
        <v>615</v>
      </c>
      <c r="CT2" s="143" t="s">
        <v>24</v>
      </c>
      <c r="CU2" s="143" t="s">
        <v>575</v>
      </c>
      <c r="CV2" s="143" t="s">
        <v>590</v>
      </c>
      <c r="CW2" s="143" t="s">
        <v>648</v>
      </c>
      <c r="CX2" s="143" t="s">
        <v>532</v>
      </c>
      <c r="CY2" s="143" t="s">
        <v>164</v>
      </c>
      <c r="CZ2" s="143" t="s">
        <v>573</v>
      </c>
      <c r="DA2" s="143" t="s">
        <v>616</v>
      </c>
      <c r="DB2" s="143" t="s">
        <v>531</v>
      </c>
      <c r="DC2" s="143" t="s">
        <v>715</v>
      </c>
      <c r="DD2" s="143" t="s">
        <v>725</v>
      </c>
      <c r="DE2" s="143" t="s">
        <v>726</v>
      </c>
      <c r="DF2" s="143" t="s">
        <v>591</v>
      </c>
      <c r="DG2" s="143" t="s">
        <v>702</v>
      </c>
      <c r="DH2" s="143" t="s">
        <v>637</v>
      </c>
      <c r="DI2" s="143" t="s">
        <v>566</v>
      </c>
      <c r="DJ2" s="143" t="s">
        <v>722</v>
      </c>
      <c r="DK2" s="143" t="s">
        <v>32</v>
      </c>
      <c r="DL2" s="143" t="s">
        <v>679</v>
      </c>
      <c r="DM2" s="143" t="s">
        <v>619</v>
      </c>
      <c r="DN2" s="143" t="s">
        <v>680</v>
      </c>
      <c r="DO2" s="143" t="s">
        <v>620</v>
      </c>
      <c r="DP2" s="143" t="s">
        <v>576</v>
      </c>
      <c r="DQ2" s="143" t="s">
        <v>592</v>
      </c>
      <c r="DR2" s="143" t="s">
        <v>681</v>
      </c>
      <c r="DS2" s="143" t="s">
        <v>537</v>
      </c>
      <c r="DT2" s="143" t="s">
        <v>692</v>
      </c>
      <c r="DU2" s="143" t="s">
        <v>28</v>
      </c>
      <c r="DV2" s="143" t="s">
        <v>600</v>
      </c>
      <c r="DW2" s="143" t="s">
        <v>710</v>
      </c>
      <c r="DX2" s="143" t="s">
        <v>718</v>
      </c>
      <c r="DY2" s="143" t="s">
        <v>719</v>
      </c>
      <c r="DZ2" s="143" t="s">
        <v>538</v>
      </c>
      <c r="EA2" s="143" t="s">
        <v>568</v>
      </c>
      <c r="EB2" s="143" t="s">
        <v>688</v>
      </c>
      <c r="EC2" s="143" t="s">
        <v>593</v>
      </c>
      <c r="ED2" s="143" t="s">
        <v>554</v>
      </c>
      <c r="EE2" s="143" t="s">
        <v>546</v>
      </c>
      <c r="EF2" s="143" t="s">
        <v>602</v>
      </c>
      <c r="EG2" s="143" t="s">
        <v>179</v>
      </c>
      <c r="EH2" s="143" t="s">
        <v>675</v>
      </c>
      <c r="EI2" s="143" t="s">
        <v>394</v>
      </c>
      <c r="EJ2" s="143" t="s">
        <v>706</v>
      </c>
      <c r="EK2" s="143" t="s">
        <v>711</v>
      </c>
      <c r="EL2" s="143" t="s">
        <v>26</v>
      </c>
      <c r="EM2" s="143" t="s">
        <v>682</v>
      </c>
      <c r="EN2" s="143" t="s">
        <v>27</v>
      </c>
      <c r="EO2" s="143" t="s">
        <v>552</v>
      </c>
      <c r="EP2" s="143" t="s">
        <v>611</v>
      </c>
      <c r="EQ2" s="143" t="s">
        <v>606</v>
      </c>
      <c r="ER2" s="143" t="s">
        <v>567</v>
      </c>
      <c r="ES2" s="143" t="s">
        <v>607</v>
      </c>
      <c r="ET2" s="143" t="s">
        <v>707</v>
      </c>
      <c r="EU2" s="143" t="s">
        <v>712</v>
      </c>
      <c r="EV2" s="143" t="s">
        <v>720</v>
      </c>
      <c r="EW2" s="143" t="s">
        <v>564</v>
      </c>
      <c r="EX2" s="143" t="s">
        <v>19</v>
      </c>
      <c r="EY2" s="143" t="s">
        <v>683</v>
      </c>
      <c r="EZ2" s="143" t="s">
        <v>694</v>
      </c>
      <c r="FA2" s="172"/>
      <c r="FB2" s="186"/>
      <c r="FC2" s="167"/>
      <c r="FD2" s="181"/>
      <c r="FE2" s="183"/>
      <c r="FF2" s="183"/>
      <c r="FG2" s="143" t="s">
        <v>717</v>
      </c>
      <c r="FH2" s="143" t="s">
        <v>643</v>
      </c>
      <c r="FI2" s="143" t="s">
        <v>560</v>
      </c>
      <c r="FJ2" s="144" t="s">
        <v>569</v>
      </c>
      <c r="FK2" s="143" t="s">
        <v>560</v>
      </c>
      <c r="FL2" s="144" t="s">
        <v>30</v>
      </c>
      <c r="FM2" s="143" t="s">
        <v>533</v>
      </c>
      <c r="FN2" s="143" t="s">
        <v>558</v>
      </c>
      <c r="FO2" s="144" t="s">
        <v>571</v>
      </c>
      <c r="FP2" s="144" t="s">
        <v>657</v>
      </c>
      <c r="FQ2" s="143" t="s">
        <v>530</v>
      </c>
      <c r="FR2" s="143" t="s">
        <v>595</v>
      </c>
      <c r="FS2" s="144" t="s">
        <v>578</v>
      </c>
      <c r="FT2" s="144" t="s">
        <v>579</v>
      </c>
      <c r="FU2" s="144" t="s">
        <v>580</v>
      </c>
      <c r="FV2" s="143" t="s">
        <v>561</v>
      </c>
      <c r="FW2" s="143" t="s">
        <v>647</v>
      </c>
      <c r="FX2" s="144" t="s">
        <v>581</v>
      </c>
      <c r="FY2" s="143" t="s">
        <v>534</v>
      </c>
      <c r="FZ2" s="143" t="s">
        <v>545</v>
      </c>
      <c r="GA2" s="143" t="s">
        <v>544</v>
      </c>
      <c r="GB2" s="143" t="s">
        <v>662</v>
      </c>
      <c r="GC2" s="144" t="s">
        <v>582</v>
      </c>
      <c r="GD2" s="143" t="s">
        <v>539</v>
      </c>
      <c r="GE2" s="143" t="s">
        <v>649</v>
      </c>
      <c r="GF2" s="143" t="s">
        <v>562</v>
      </c>
      <c r="GG2" s="143" t="s">
        <v>644</v>
      </c>
      <c r="GH2" s="143" t="s">
        <v>640</v>
      </c>
      <c r="GI2" s="143" t="s">
        <v>180</v>
      </c>
      <c r="GJ2" s="143" t="s">
        <v>565</v>
      </c>
      <c r="GK2" s="143" t="s">
        <v>563</v>
      </c>
      <c r="GL2" s="144" t="s">
        <v>583</v>
      </c>
      <c r="GM2" s="144" t="s">
        <v>584</v>
      </c>
      <c r="GN2" s="144" t="s">
        <v>585</v>
      </c>
      <c r="GO2" s="144" t="s">
        <v>586</v>
      </c>
      <c r="GP2" s="144" t="s">
        <v>587</v>
      </c>
      <c r="GQ2" s="144" t="s">
        <v>574</v>
      </c>
      <c r="GR2" s="143" t="s">
        <v>556</v>
      </c>
      <c r="GS2" s="143" t="s">
        <v>614</v>
      </c>
      <c r="GT2" s="143" t="s">
        <v>634</v>
      </c>
      <c r="GU2" s="143" t="s">
        <v>716</v>
      </c>
      <c r="GV2" s="144" t="s">
        <v>572</v>
      </c>
      <c r="GW2" s="144" t="s">
        <v>588</v>
      </c>
      <c r="GX2" s="143" t="s">
        <v>557</v>
      </c>
      <c r="GY2" s="143" t="s">
        <v>541</v>
      </c>
      <c r="GZ2" s="143" t="s">
        <v>535</v>
      </c>
      <c r="HA2" s="143" t="s">
        <v>596</v>
      </c>
      <c r="HB2" s="143" t="s">
        <v>551</v>
      </c>
      <c r="HC2" s="143" t="s">
        <v>636</v>
      </c>
      <c r="HD2" s="143" t="s">
        <v>540</v>
      </c>
      <c r="HE2" s="143" t="s">
        <v>553</v>
      </c>
      <c r="HF2" s="143" t="s">
        <v>547</v>
      </c>
      <c r="HG2" s="143" t="s">
        <v>543</v>
      </c>
      <c r="HH2" s="143" t="s">
        <v>555</v>
      </c>
      <c r="HI2" s="143" t="s">
        <v>721</v>
      </c>
      <c r="HJ2" s="144" t="s">
        <v>589</v>
      </c>
      <c r="HK2" s="144" t="s">
        <v>641</v>
      </c>
      <c r="HL2" s="143" t="s">
        <v>559</v>
      </c>
      <c r="HM2" s="144" t="s">
        <v>570</v>
      </c>
      <c r="HN2" s="144" t="s">
        <v>24</v>
      </c>
      <c r="HO2" s="144" t="s">
        <v>575</v>
      </c>
      <c r="HP2" s="144" t="s">
        <v>536</v>
      </c>
      <c r="HQ2" s="144" t="s">
        <v>590</v>
      </c>
      <c r="HR2" s="143" t="s">
        <v>532</v>
      </c>
      <c r="HS2" s="144" t="s">
        <v>573</v>
      </c>
      <c r="HT2" s="143" t="s">
        <v>531</v>
      </c>
      <c r="HU2" s="143" t="s">
        <v>691</v>
      </c>
      <c r="HV2" s="143" t="s">
        <v>723</v>
      </c>
      <c r="HW2" s="143" t="s">
        <v>724</v>
      </c>
      <c r="HX2" s="144" t="s">
        <v>591</v>
      </c>
      <c r="HY2" s="144" t="s">
        <v>637</v>
      </c>
      <c r="HZ2" s="143" t="s">
        <v>566</v>
      </c>
      <c r="IA2" s="143" t="s">
        <v>722</v>
      </c>
      <c r="IB2" s="143" t="s">
        <v>620</v>
      </c>
      <c r="IC2" s="143" t="s">
        <v>32</v>
      </c>
      <c r="ID2" s="143" t="s">
        <v>619</v>
      </c>
      <c r="IE2" s="144" t="s">
        <v>576</v>
      </c>
      <c r="IF2" s="144" t="s">
        <v>592</v>
      </c>
      <c r="IG2" s="143" t="s">
        <v>537</v>
      </c>
      <c r="IH2" s="143" t="s">
        <v>28</v>
      </c>
      <c r="II2" s="143" t="s">
        <v>642</v>
      </c>
      <c r="IJ2" s="143" t="s">
        <v>633</v>
      </c>
      <c r="IK2" s="143" t="s">
        <v>635</v>
      </c>
      <c r="IL2" s="143" t="s">
        <v>718</v>
      </c>
      <c r="IM2" s="143" t="s">
        <v>719</v>
      </c>
      <c r="IN2" s="143" t="s">
        <v>538</v>
      </c>
      <c r="IO2" s="144" t="s">
        <v>568</v>
      </c>
      <c r="IP2" s="144" t="s">
        <v>593</v>
      </c>
      <c r="IQ2" s="144" t="s">
        <v>542</v>
      </c>
      <c r="IR2" s="143" t="s">
        <v>554</v>
      </c>
      <c r="IS2" s="143" t="s">
        <v>546</v>
      </c>
      <c r="IT2" s="144" t="s">
        <v>179</v>
      </c>
      <c r="IU2" s="143" t="s">
        <v>552</v>
      </c>
      <c r="IV2" s="143" t="s">
        <v>567</v>
      </c>
      <c r="IW2" s="143" t="s">
        <v>720</v>
      </c>
      <c r="IX2" s="143" t="s">
        <v>564</v>
      </c>
      <c r="IY2" s="144" t="s">
        <v>394</v>
      </c>
      <c r="IZ2" s="143" t="s">
        <v>26</v>
      </c>
      <c r="JA2" s="144" t="s">
        <v>27</v>
      </c>
      <c r="JB2" s="143" t="s">
        <v>19</v>
      </c>
      <c r="JC2" s="143"/>
      <c r="JD2" s="181"/>
      <c r="JE2" s="181"/>
      <c r="JF2" s="189"/>
      <c r="JG2" s="185"/>
      <c r="JH2" s="143" t="s">
        <v>569</v>
      </c>
      <c r="JI2" s="143" t="s">
        <v>608</v>
      </c>
      <c r="JJ2" s="143" t="s">
        <v>717</v>
      </c>
      <c r="JK2" s="143" t="s">
        <v>609</v>
      </c>
      <c r="JL2" s="143" t="s">
        <v>676</v>
      </c>
      <c r="JM2" s="143" t="s">
        <v>560</v>
      </c>
      <c r="JN2" s="143" t="s">
        <v>598</v>
      </c>
      <c r="JO2" s="143" t="s">
        <v>30</v>
      </c>
      <c r="JP2" s="143" t="s">
        <v>660</v>
      </c>
      <c r="JQ2" s="143" t="s">
        <v>571</v>
      </c>
      <c r="JR2" s="143" t="s">
        <v>22</v>
      </c>
      <c r="JS2" s="143" t="s">
        <v>677</v>
      </c>
      <c r="JT2" s="143" t="s">
        <v>713</v>
      </c>
      <c r="JU2" s="143" t="s">
        <v>577</v>
      </c>
      <c r="JV2" s="143" t="s">
        <v>530</v>
      </c>
      <c r="JW2" s="143" t="s">
        <v>595</v>
      </c>
      <c r="JX2" s="143" t="s">
        <v>578</v>
      </c>
      <c r="JY2" s="143" t="s">
        <v>548</v>
      </c>
      <c r="JZ2" s="143" t="s">
        <v>697</v>
      </c>
      <c r="KA2" s="143" t="s">
        <v>579</v>
      </c>
      <c r="KB2" s="143" t="s">
        <v>580</v>
      </c>
      <c r="KC2" s="143" t="s">
        <v>561</v>
      </c>
      <c r="KD2" s="143" t="s">
        <v>581</v>
      </c>
      <c r="KE2" s="143" t="s">
        <v>647</v>
      </c>
      <c r="KF2" s="143" t="s">
        <v>534</v>
      </c>
      <c r="KG2" s="143" t="s">
        <v>709</v>
      </c>
      <c r="KH2" s="143" t="s">
        <v>544</v>
      </c>
      <c r="KI2" s="143" t="s">
        <v>678</v>
      </c>
      <c r="KJ2" s="143" t="s">
        <v>582</v>
      </c>
      <c r="KK2" s="143" t="s">
        <v>696</v>
      </c>
      <c r="KL2" s="143" t="s">
        <v>603</v>
      </c>
      <c r="KM2" s="143" t="s">
        <v>693</v>
      </c>
      <c r="KN2" s="143" t="s">
        <v>674</v>
      </c>
      <c r="KO2" s="143" t="s">
        <v>701</v>
      </c>
      <c r="KP2" s="143" t="s">
        <v>695</v>
      </c>
      <c r="KQ2" s="143" t="s">
        <v>562</v>
      </c>
      <c r="KR2" s="143" t="s">
        <v>565</v>
      </c>
      <c r="KS2" s="143" t="s">
        <v>180</v>
      </c>
      <c r="KT2" s="143" t="s">
        <v>563</v>
      </c>
      <c r="KU2" s="143" t="s">
        <v>640</v>
      </c>
      <c r="KV2" s="143" t="s">
        <v>583</v>
      </c>
      <c r="KW2" s="143" t="s">
        <v>584</v>
      </c>
      <c r="KX2" s="143" t="s">
        <v>585</v>
      </c>
      <c r="KY2" s="143" t="s">
        <v>586</v>
      </c>
      <c r="KZ2" s="143" t="s">
        <v>601</v>
      </c>
      <c r="LA2" s="143" t="s">
        <v>599</v>
      </c>
      <c r="LB2" s="143" t="s">
        <v>610</v>
      </c>
      <c r="LC2" s="143" t="s">
        <v>587</v>
      </c>
      <c r="LD2" s="143" t="s">
        <v>574</v>
      </c>
      <c r="LE2" s="143" t="s">
        <v>708</v>
      </c>
      <c r="LF2" s="143" t="s">
        <v>604</v>
      </c>
      <c r="LG2" s="143" t="s">
        <v>556</v>
      </c>
      <c r="LH2" s="143" t="s">
        <v>614</v>
      </c>
      <c r="LI2" s="143" t="s">
        <v>634</v>
      </c>
      <c r="LJ2" s="143" t="s">
        <v>716</v>
      </c>
      <c r="LK2" s="143" t="s">
        <v>704</v>
      </c>
      <c r="LL2" s="143" t="s">
        <v>572</v>
      </c>
      <c r="LM2" s="143" t="s">
        <v>588</v>
      </c>
      <c r="LN2" s="143" t="s">
        <v>557</v>
      </c>
      <c r="LO2" s="143" t="s">
        <v>597</v>
      </c>
      <c r="LP2" s="143" t="s">
        <v>698</v>
      </c>
      <c r="LQ2" s="143" t="s">
        <v>687</v>
      </c>
      <c r="LR2" s="143" t="s">
        <v>612</v>
      </c>
      <c r="LS2" s="143" t="s">
        <v>613</v>
      </c>
      <c r="LT2" s="143" t="s">
        <v>705</v>
      </c>
      <c r="LU2" s="143" t="s">
        <v>596</v>
      </c>
      <c r="LV2" s="143" t="s">
        <v>551</v>
      </c>
      <c r="LW2" s="143" t="s">
        <v>703</v>
      </c>
      <c r="LX2" s="143" t="s">
        <v>553</v>
      </c>
      <c r="LY2" s="143" t="s">
        <v>543</v>
      </c>
      <c r="LZ2" s="143" t="s">
        <v>555</v>
      </c>
      <c r="MA2" s="143" t="s">
        <v>721</v>
      </c>
      <c r="MB2" s="143" t="s">
        <v>589</v>
      </c>
      <c r="MC2" s="143" t="s">
        <v>700</v>
      </c>
      <c r="MD2" s="143" t="s">
        <v>559</v>
      </c>
      <c r="ME2" s="143" t="s">
        <v>699</v>
      </c>
      <c r="MF2" s="143" t="s">
        <v>605</v>
      </c>
      <c r="MG2" s="143" t="s">
        <v>570</v>
      </c>
      <c r="MH2" s="143" t="s">
        <v>615</v>
      </c>
      <c r="MI2" s="143" t="s">
        <v>24</v>
      </c>
      <c r="MJ2" s="143" t="s">
        <v>575</v>
      </c>
      <c r="MK2" s="143" t="s">
        <v>590</v>
      </c>
      <c r="ML2" s="143" t="s">
        <v>648</v>
      </c>
      <c r="MM2" s="143" t="s">
        <v>532</v>
      </c>
      <c r="MN2" s="143" t="s">
        <v>164</v>
      </c>
      <c r="MO2" s="143" t="s">
        <v>573</v>
      </c>
      <c r="MP2" s="143" t="s">
        <v>616</v>
      </c>
      <c r="MQ2" s="143" t="s">
        <v>531</v>
      </c>
      <c r="MR2" s="143" t="s">
        <v>715</v>
      </c>
      <c r="MS2" s="143" t="s">
        <v>725</v>
      </c>
      <c r="MT2" s="143" t="s">
        <v>726</v>
      </c>
      <c r="MU2" s="143" t="s">
        <v>591</v>
      </c>
      <c r="MV2" s="143" t="s">
        <v>702</v>
      </c>
      <c r="MW2" s="143" t="s">
        <v>637</v>
      </c>
      <c r="MX2" s="143" t="s">
        <v>566</v>
      </c>
      <c r="MY2" s="143" t="s">
        <v>722</v>
      </c>
      <c r="MZ2" s="143" t="s">
        <v>32</v>
      </c>
      <c r="NA2" s="143" t="s">
        <v>679</v>
      </c>
      <c r="NB2" s="143" t="s">
        <v>619</v>
      </c>
      <c r="NC2" s="143" t="s">
        <v>680</v>
      </c>
      <c r="ND2" s="143" t="s">
        <v>620</v>
      </c>
      <c r="NE2" s="143" t="s">
        <v>576</v>
      </c>
      <c r="NF2" s="143" t="s">
        <v>592</v>
      </c>
      <c r="NG2" s="143" t="s">
        <v>681</v>
      </c>
      <c r="NH2" s="143" t="s">
        <v>537</v>
      </c>
      <c r="NI2" s="143" t="s">
        <v>692</v>
      </c>
      <c r="NJ2" s="143" t="s">
        <v>28</v>
      </c>
      <c r="NK2" s="143" t="s">
        <v>600</v>
      </c>
      <c r="NL2" s="143" t="s">
        <v>710</v>
      </c>
      <c r="NM2" s="143" t="s">
        <v>718</v>
      </c>
      <c r="NN2" s="143" t="s">
        <v>719</v>
      </c>
      <c r="NO2" s="143" t="s">
        <v>538</v>
      </c>
      <c r="NP2" s="143" t="s">
        <v>568</v>
      </c>
      <c r="NQ2" s="143" t="s">
        <v>688</v>
      </c>
      <c r="NR2" s="143" t="s">
        <v>593</v>
      </c>
      <c r="NS2" s="143" t="s">
        <v>554</v>
      </c>
      <c r="NT2" s="143" t="s">
        <v>546</v>
      </c>
      <c r="NU2" s="143" t="s">
        <v>602</v>
      </c>
      <c r="NV2" s="143" t="s">
        <v>179</v>
      </c>
      <c r="NW2" s="143" t="s">
        <v>675</v>
      </c>
      <c r="NX2" s="143" t="s">
        <v>394</v>
      </c>
      <c r="NY2" s="143" t="s">
        <v>706</v>
      </c>
      <c r="NZ2" s="143" t="s">
        <v>711</v>
      </c>
      <c r="OA2" s="143" t="s">
        <v>26</v>
      </c>
      <c r="OB2" s="143" t="s">
        <v>682</v>
      </c>
      <c r="OC2" s="143" t="s">
        <v>27</v>
      </c>
      <c r="OD2" s="143" t="s">
        <v>552</v>
      </c>
      <c r="OE2" s="143" t="s">
        <v>611</v>
      </c>
      <c r="OF2" s="143" t="s">
        <v>606</v>
      </c>
      <c r="OG2" s="143" t="s">
        <v>567</v>
      </c>
      <c r="OH2" s="143" t="s">
        <v>607</v>
      </c>
      <c r="OI2" s="143" t="s">
        <v>707</v>
      </c>
      <c r="OJ2" s="143" t="s">
        <v>712</v>
      </c>
      <c r="OK2" s="143" t="s">
        <v>720</v>
      </c>
      <c r="OL2" s="143" t="s">
        <v>564</v>
      </c>
      <c r="OM2" s="143" t="s">
        <v>19</v>
      </c>
      <c r="ON2" s="143" t="s">
        <v>683</v>
      </c>
      <c r="OO2" s="143" t="s">
        <v>694</v>
      </c>
      <c r="OP2" s="187"/>
      <c r="OQ2" s="186"/>
      <c r="OR2" s="167"/>
      <c r="OS2" s="181"/>
      <c r="OT2" s="183"/>
      <c r="OU2" s="183"/>
      <c r="OV2" s="143" t="s">
        <v>717</v>
      </c>
      <c r="OW2" s="143" t="s">
        <v>643</v>
      </c>
      <c r="OX2" s="143" t="s">
        <v>560</v>
      </c>
      <c r="OY2" s="144" t="s">
        <v>569</v>
      </c>
      <c r="OZ2" s="143" t="s">
        <v>560</v>
      </c>
      <c r="PA2" s="144" t="s">
        <v>30</v>
      </c>
      <c r="PB2" s="143" t="s">
        <v>533</v>
      </c>
      <c r="PC2" s="143" t="s">
        <v>558</v>
      </c>
      <c r="PD2" s="144" t="s">
        <v>571</v>
      </c>
      <c r="PE2" s="144" t="s">
        <v>657</v>
      </c>
      <c r="PF2" s="143" t="s">
        <v>530</v>
      </c>
      <c r="PG2" s="143" t="s">
        <v>595</v>
      </c>
      <c r="PH2" s="144" t="s">
        <v>578</v>
      </c>
      <c r="PI2" s="144" t="s">
        <v>579</v>
      </c>
      <c r="PJ2" s="144" t="s">
        <v>580</v>
      </c>
      <c r="PK2" s="143" t="s">
        <v>561</v>
      </c>
      <c r="PL2" s="143" t="s">
        <v>647</v>
      </c>
      <c r="PM2" s="144" t="s">
        <v>581</v>
      </c>
      <c r="PN2" s="143" t="s">
        <v>534</v>
      </c>
      <c r="PO2" s="143" t="s">
        <v>545</v>
      </c>
      <c r="PP2" s="143" t="s">
        <v>544</v>
      </c>
      <c r="PQ2" s="143" t="s">
        <v>662</v>
      </c>
      <c r="PR2" s="144" t="s">
        <v>582</v>
      </c>
      <c r="PS2" s="143" t="s">
        <v>539</v>
      </c>
      <c r="PT2" s="143" t="s">
        <v>649</v>
      </c>
      <c r="PU2" s="143" t="s">
        <v>562</v>
      </c>
      <c r="PV2" s="143" t="s">
        <v>644</v>
      </c>
      <c r="PW2" s="143" t="s">
        <v>640</v>
      </c>
      <c r="PX2" s="143" t="s">
        <v>180</v>
      </c>
      <c r="PY2" s="143" t="s">
        <v>565</v>
      </c>
      <c r="PZ2" s="143" t="s">
        <v>563</v>
      </c>
      <c r="QA2" s="144" t="s">
        <v>583</v>
      </c>
      <c r="QB2" s="144" t="s">
        <v>584</v>
      </c>
      <c r="QC2" s="144" t="s">
        <v>585</v>
      </c>
      <c r="QD2" s="144" t="s">
        <v>586</v>
      </c>
      <c r="QE2" s="144" t="s">
        <v>587</v>
      </c>
      <c r="QF2" s="144" t="s">
        <v>574</v>
      </c>
      <c r="QG2" s="143" t="s">
        <v>556</v>
      </c>
      <c r="QH2" s="143" t="s">
        <v>614</v>
      </c>
      <c r="QI2" s="143" t="s">
        <v>634</v>
      </c>
      <c r="QJ2" s="143" t="s">
        <v>716</v>
      </c>
      <c r="QK2" s="144" t="s">
        <v>572</v>
      </c>
      <c r="QL2" s="144" t="s">
        <v>588</v>
      </c>
      <c r="QM2" s="143" t="s">
        <v>557</v>
      </c>
      <c r="QN2" s="143" t="s">
        <v>541</v>
      </c>
      <c r="QO2" s="143" t="s">
        <v>535</v>
      </c>
      <c r="QP2" s="143" t="s">
        <v>596</v>
      </c>
      <c r="QQ2" s="143" t="s">
        <v>551</v>
      </c>
      <c r="QR2" s="143" t="s">
        <v>636</v>
      </c>
      <c r="QS2" s="143" t="s">
        <v>540</v>
      </c>
      <c r="QT2" s="143" t="s">
        <v>553</v>
      </c>
      <c r="QU2" s="143" t="s">
        <v>547</v>
      </c>
      <c r="QV2" s="143" t="s">
        <v>543</v>
      </c>
      <c r="QW2" s="143" t="s">
        <v>555</v>
      </c>
      <c r="QX2" s="143" t="s">
        <v>721</v>
      </c>
      <c r="QY2" s="144" t="s">
        <v>589</v>
      </c>
      <c r="QZ2" s="144" t="s">
        <v>641</v>
      </c>
      <c r="RA2" s="143" t="s">
        <v>559</v>
      </c>
      <c r="RB2" s="144" t="s">
        <v>570</v>
      </c>
      <c r="RC2" s="144" t="s">
        <v>24</v>
      </c>
      <c r="RD2" s="144" t="s">
        <v>575</v>
      </c>
      <c r="RE2" s="144" t="s">
        <v>536</v>
      </c>
      <c r="RF2" s="144" t="s">
        <v>590</v>
      </c>
      <c r="RG2" s="143" t="s">
        <v>532</v>
      </c>
      <c r="RH2" s="144" t="s">
        <v>573</v>
      </c>
      <c r="RI2" s="143" t="s">
        <v>531</v>
      </c>
      <c r="RJ2" s="143" t="s">
        <v>691</v>
      </c>
      <c r="RK2" s="143" t="s">
        <v>723</v>
      </c>
      <c r="RL2" s="143" t="s">
        <v>724</v>
      </c>
      <c r="RM2" s="144" t="s">
        <v>591</v>
      </c>
      <c r="RN2" s="144" t="s">
        <v>637</v>
      </c>
      <c r="RO2" s="143" t="s">
        <v>566</v>
      </c>
      <c r="RP2" s="143" t="s">
        <v>722</v>
      </c>
      <c r="RQ2" s="143" t="s">
        <v>620</v>
      </c>
      <c r="RR2" s="143" t="s">
        <v>32</v>
      </c>
      <c r="RS2" s="143" t="s">
        <v>619</v>
      </c>
      <c r="RT2" s="144" t="s">
        <v>576</v>
      </c>
      <c r="RU2" s="144" t="s">
        <v>592</v>
      </c>
      <c r="RV2" s="143" t="s">
        <v>537</v>
      </c>
      <c r="RW2" s="143" t="s">
        <v>28</v>
      </c>
      <c r="RX2" s="143" t="s">
        <v>642</v>
      </c>
      <c r="RY2" s="143" t="s">
        <v>633</v>
      </c>
      <c r="RZ2" s="143" t="s">
        <v>635</v>
      </c>
      <c r="SA2" s="143" t="s">
        <v>718</v>
      </c>
      <c r="SB2" s="143" t="s">
        <v>719</v>
      </c>
      <c r="SC2" s="143" t="s">
        <v>538</v>
      </c>
      <c r="SD2" s="144" t="s">
        <v>568</v>
      </c>
      <c r="SE2" s="144" t="s">
        <v>593</v>
      </c>
      <c r="SF2" s="144" t="s">
        <v>542</v>
      </c>
      <c r="SG2" s="143" t="s">
        <v>554</v>
      </c>
      <c r="SH2" s="143" t="s">
        <v>546</v>
      </c>
      <c r="SI2" s="144" t="s">
        <v>179</v>
      </c>
      <c r="SJ2" s="143" t="s">
        <v>552</v>
      </c>
      <c r="SK2" s="143" t="s">
        <v>567</v>
      </c>
      <c r="SL2" s="143" t="s">
        <v>720</v>
      </c>
      <c r="SM2" s="143" t="s">
        <v>564</v>
      </c>
      <c r="SN2" s="144" t="s">
        <v>394</v>
      </c>
      <c r="SO2" s="143" t="s">
        <v>26</v>
      </c>
      <c r="SP2" s="144" t="s">
        <v>27</v>
      </c>
      <c r="SQ2" s="143" t="s">
        <v>19</v>
      </c>
    </row>
    <row r="3" spans="1:511" ht="28.5" customHeight="1">
      <c r="A3" s="129">
        <v>6</v>
      </c>
      <c r="B3" s="121" t="s">
        <v>659</v>
      </c>
      <c r="C3" s="65" t="s">
        <v>743</v>
      </c>
      <c r="D3" s="116" t="s">
        <v>549</v>
      </c>
      <c r="E3" s="117" t="s">
        <v>384</v>
      </c>
      <c r="F3" s="117" t="s">
        <v>385</v>
      </c>
      <c r="G3" s="117">
        <v>45</v>
      </c>
      <c r="H3" s="131">
        <v>66</v>
      </c>
      <c r="I3" s="131">
        <v>66</v>
      </c>
      <c r="K3" s="131">
        <v>37</v>
      </c>
      <c r="L3" s="131">
        <v>29</v>
      </c>
      <c r="M3" s="131">
        <v>66</v>
      </c>
      <c r="N3" s="131">
        <v>66</v>
      </c>
      <c r="R3" s="65" t="s">
        <v>743</v>
      </c>
      <c r="S3" s="146"/>
      <c r="T3" s="146"/>
      <c r="U3" s="146"/>
      <c r="V3" s="146"/>
      <c r="W3" s="146"/>
      <c r="X3" s="146"/>
      <c r="Y3" s="146"/>
      <c r="Z3" s="146">
        <v>5</v>
      </c>
      <c r="AA3" s="146">
        <v>4</v>
      </c>
      <c r="AB3" s="146"/>
      <c r="AC3" s="146"/>
      <c r="AD3" s="146"/>
      <c r="AE3" s="146"/>
      <c r="AF3" s="146"/>
      <c r="AG3" s="146">
        <v>18</v>
      </c>
      <c r="AH3" s="146">
        <v>16</v>
      </c>
      <c r="AI3" s="146"/>
      <c r="AJ3" s="146"/>
      <c r="AK3" s="146"/>
      <c r="AL3" s="146"/>
      <c r="AM3" s="146"/>
      <c r="AN3" s="146"/>
      <c r="AO3" s="146"/>
      <c r="AP3" s="146"/>
      <c r="AQ3" s="146">
        <v>1</v>
      </c>
      <c r="AR3" s="146"/>
      <c r="AS3" s="146"/>
      <c r="AT3" s="146"/>
      <c r="AU3" s="146"/>
      <c r="AV3" s="146"/>
      <c r="AW3" s="146"/>
      <c r="AX3" s="146"/>
      <c r="AY3" s="146"/>
      <c r="AZ3" s="146"/>
      <c r="BA3" s="146"/>
      <c r="BB3" s="146"/>
      <c r="BC3" s="146">
        <v>3</v>
      </c>
      <c r="BD3" s="146"/>
      <c r="BE3" s="146"/>
      <c r="BF3" s="146"/>
      <c r="BG3" s="146"/>
      <c r="BH3" s="146"/>
      <c r="BI3" s="146"/>
      <c r="BJ3" s="146"/>
      <c r="BK3" s="146"/>
      <c r="BL3" s="146"/>
      <c r="BM3" s="146"/>
      <c r="BN3" s="146"/>
      <c r="BO3" s="146"/>
      <c r="BP3" s="146"/>
      <c r="BQ3" s="146">
        <v>4</v>
      </c>
      <c r="BR3" s="146"/>
      <c r="BS3" s="146"/>
      <c r="BT3" s="146"/>
      <c r="BU3" s="146"/>
      <c r="BV3" s="146"/>
      <c r="BW3" s="146"/>
      <c r="BX3" s="146"/>
      <c r="BY3" s="146"/>
      <c r="BZ3" s="146"/>
      <c r="CA3" s="146"/>
      <c r="CB3" s="146"/>
      <c r="CC3" s="146"/>
      <c r="CD3" s="146"/>
      <c r="CE3" s="146"/>
      <c r="CF3" s="146"/>
      <c r="CG3" s="146">
        <v>13</v>
      </c>
      <c r="CH3" s="146"/>
      <c r="CI3" s="146">
        <v>6</v>
      </c>
      <c r="CJ3" s="146">
        <v>2</v>
      </c>
      <c r="CK3" s="146"/>
      <c r="CL3" s="146"/>
      <c r="CM3" s="146"/>
      <c r="CN3" s="146"/>
      <c r="CO3" s="146"/>
      <c r="CP3" s="146"/>
      <c r="CQ3" s="146"/>
      <c r="CR3" s="146"/>
      <c r="CS3" s="146"/>
      <c r="CT3" s="146"/>
      <c r="CU3" s="146"/>
      <c r="CV3" s="146"/>
      <c r="CW3" s="146"/>
      <c r="CX3" s="146">
        <v>6</v>
      </c>
      <c r="CY3" s="146">
        <v>3</v>
      </c>
      <c r="CZ3" s="146"/>
      <c r="DA3" s="146"/>
      <c r="DB3" s="146">
        <v>7</v>
      </c>
      <c r="DC3" s="146"/>
      <c r="DD3" s="146"/>
      <c r="DE3" s="146"/>
      <c r="DF3" s="146"/>
      <c r="DG3" s="146"/>
      <c r="DH3" s="146"/>
      <c r="DI3" s="146"/>
      <c r="DJ3" s="146"/>
      <c r="DK3" s="146"/>
      <c r="DL3" s="146"/>
      <c r="DM3" s="146"/>
      <c r="DN3" s="146"/>
      <c r="DO3" s="146"/>
      <c r="DP3" s="146"/>
      <c r="DQ3" s="146"/>
      <c r="DR3" s="146"/>
      <c r="DS3" s="146"/>
      <c r="DT3" s="146"/>
      <c r="DU3" s="146"/>
      <c r="DV3" s="146"/>
      <c r="DW3" s="146"/>
      <c r="DX3" s="146"/>
      <c r="DY3" s="146"/>
      <c r="DZ3" s="146"/>
      <c r="EA3" s="146"/>
      <c r="EB3" s="146"/>
      <c r="EC3" s="146"/>
      <c r="ED3" s="146"/>
      <c r="EE3" s="146"/>
      <c r="EF3" s="146"/>
      <c r="EG3" s="146"/>
      <c r="EH3" s="146"/>
      <c r="EI3" s="146"/>
      <c r="EJ3" s="146"/>
      <c r="EK3" s="146"/>
      <c r="EL3" s="146">
        <v>4</v>
      </c>
      <c r="EM3" s="146"/>
      <c r="EN3" s="146"/>
      <c r="EO3" s="146"/>
      <c r="EP3" s="146"/>
      <c r="EQ3" s="146"/>
      <c r="ER3" s="146"/>
      <c r="ES3" s="146"/>
      <c r="ET3" s="146"/>
      <c r="EU3" s="146"/>
      <c r="EV3" s="146"/>
      <c r="EW3" s="146"/>
      <c r="EX3" s="146"/>
      <c r="EY3" s="146"/>
      <c r="EZ3" s="146"/>
      <c r="FA3" s="68"/>
      <c r="FB3" s="146"/>
      <c r="FC3" s="146"/>
      <c r="FD3" s="146"/>
      <c r="FE3" s="146"/>
      <c r="FF3" s="146"/>
      <c r="FG3" s="146"/>
      <c r="FH3" s="146"/>
      <c r="FI3" s="146"/>
      <c r="FJ3" s="144"/>
      <c r="FK3" s="146"/>
      <c r="FL3" s="144"/>
      <c r="FM3" s="146"/>
      <c r="FN3" s="146"/>
      <c r="FO3" s="144"/>
      <c r="FP3" s="144"/>
      <c r="FQ3" s="146"/>
      <c r="FR3" s="146"/>
      <c r="FS3" s="144"/>
      <c r="FT3" s="144"/>
      <c r="FU3" s="144"/>
      <c r="FV3" s="146"/>
      <c r="FW3" s="146"/>
      <c r="FX3" s="144"/>
      <c r="FY3" s="146"/>
      <c r="FZ3" s="146"/>
      <c r="GA3" s="146"/>
      <c r="GB3" s="146"/>
      <c r="GC3" s="144"/>
      <c r="GD3" s="146"/>
      <c r="GE3" s="146"/>
      <c r="GF3" s="146"/>
      <c r="GG3" s="146"/>
      <c r="GH3" s="146"/>
      <c r="GI3" s="146"/>
      <c r="GJ3" s="146"/>
      <c r="GK3" s="146"/>
      <c r="GL3" s="144"/>
      <c r="GM3" s="144"/>
      <c r="GN3" s="144"/>
      <c r="GO3" s="144"/>
      <c r="GP3" s="144"/>
      <c r="GQ3" s="144"/>
      <c r="GR3" s="146"/>
      <c r="GS3" s="146"/>
      <c r="GT3" s="146"/>
      <c r="GU3" s="146"/>
      <c r="GV3" s="144"/>
      <c r="GW3" s="144"/>
      <c r="GX3" s="146"/>
      <c r="GY3" s="146"/>
      <c r="GZ3" s="146"/>
      <c r="HA3" s="146"/>
      <c r="HB3" s="146"/>
      <c r="HC3" s="146"/>
      <c r="HD3" s="146"/>
      <c r="HE3" s="146"/>
      <c r="HF3" s="146"/>
      <c r="HG3" s="146"/>
      <c r="HH3" s="146"/>
      <c r="HI3" s="146"/>
      <c r="HJ3" s="144"/>
      <c r="HK3" s="144"/>
      <c r="HL3" s="146"/>
      <c r="HM3" s="144"/>
      <c r="HN3" s="144"/>
      <c r="HO3" s="144"/>
      <c r="HP3" s="144"/>
      <c r="HQ3" s="144"/>
      <c r="HR3" s="146"/>
      <c r="HS3" s="144"/>
      <c r="HT3" s="146"/>
      <c r="HU3" s="146"/>
      <c r="HV3" s="146"/>
      <c r="HW3" s="146"/>
      <c r="HX3" s="144"/>
      <c r="HY3" s="144"/>
      <c r="HZ3" s="146"/>
      <c r="IA3" s="146"/>
      <c r="IB3" s="146"/>
      <c r="IC3" s="146"/>
      <c r="ID3" s="146"/>
      <c r="IE3" s="144"/>
      <c r="IF3" s="144"/>
      <c r="IG3" s="146"/>
      <c r="IH3" s="146"/>
      <c r="II3" s="146"/>
      <c r="IJ3" s="146"/>
      <c r="IK3" s="146"/>
      <c r="IL3" s="146"/>
      <c r="IM3" s="146"/>
      <c r="IN3" s="146"/>
      <c r="IO3" s="144"/>
      <c r="IP3" s="144"/>
      <c r="IQ3" s="144"/>
      <c r="IR3" s="146"/>
      <c r="IS3" s="146"/>
      <c r="IT3" s="144"/>
      <c r="IU3" s="146"/>
      <c r="IV3" s="146"/>
      <c r="IW3" s="146"/>
      <c r="IX3" s="146"/>
      <c r="IY3" s="144"/>
      <c r="IZ3" s="146"/>
      <c r="JA3" s="144"/>
      <c r="JB3" s="146"/>
      <c r="JC3" s="146"/>
      <c r="JD3" s="117" t="s">
        <v>385</v>
      </c>
      <c r="JE3" s="117">
        <v>45</v>
      </c>
      <c r="JF3" s="146">
        <v>45</v>
      </c>
      <c r="JG3" s="131">
        <v>45</v>
      </c>
      <c r="JH3" s="146"/>
      <c r="JI3" s="146"/>
      <c r="JJ3" s="146"/>
      <c r="JK3" s="146"/>
      <c r="JL3" s="146"/>
      <c r="JM3" s="146"/>
      <c r="JN3" s="146"/>
      <c r="JO3" s="146">
        <v>4</v>
      </c>
      <c r="JP3" s="146">
        <v>4</v>
      </c>
      <c r="JQ3" s="146"/>
      <c r="JR3" s="146"/>
      <c r="JS3" s="146"/>
      <c r="JT3" s="146"/>
      <c r="JU3" s="146"/>
      <c r="JV3" s="146">
        <v>4</v>
      </c>
      <c r="JW3" s="146">
        <v>3</v>
      </c>
      <c r="JX3" s="146"/>
      <c r="JY3" s="146"/>
      <c r="JZ3" s="146"/>
      <c r="KA3" s="146"/>
      <c r="KB3" s="146"/>
      <c r="KC3" s="146"/>
      <c r="KD3" s="146"/>
      <c r="KE3" s="146"/>
      <c r="KF3" s="146"/>
      <c r="KG3" s="146"/>
      <c r="KH3" s="146"/>
      <c r="KI3" s="146"/>
      <c r="KJ3" s="146"/>
      <c r="KK3" s="146"/>
      <c r="KL3" s="146"/>
      <c r="KM3" s="146"/>
      <c r="KN3" s="146"/>
      <c r="KO3" s="146"/>
      <c r="KP3" s="146"/>
      <c r="KQ3" s="146"/>
      <c r="KR3" s="146">
        <v>3</v>
      </c>
      <c r="KS3" s="146"/>
      <c r="KT3" s="146"/>
      <c r="KU3" s="146"/>
      <c r="KV3" s="146"/>
      <c r="KW3" s="146"/>
      <c r="KX3" s="146"/>
      <c r="KY3" s="146"/>
      <c r="KZ3" s="146"/>
      <c r="LA3" s="146"/>
      <c r="LB3" s="146"/>
      <c r="LC3" s="146"/>
      <c r="LD3" s="146"/>
      <c r="LE3" s="146"/>
      <c r="LF3" s="146">
        <v>1</v>
      </c>
      <c r="LG3" s="146"/>
      <c r="LH3" s="146"/>
      <c r="LI3" s="146"/>
      <c r="LJ3" s="146"/>
      <c r="LK3" s="146"/>
      <c r="LL3" s="146"/>
      <c r="LM3" s="146"/>
      <c r="LN3" s="146"/>
      <c r="LO3" s="146"/>
      <c r="LP3" s="146"/>
      <c r="LQ3" s="146"/>
      <c r="LR3" s="146"/>
      <c r="LS3" s="146"/>
      <c r="LT3" s="146"/>
      <c r="LU3" s="146"/>
      <c r="LV3" s="146">
        <v>11</v>
      </c>
      <c r="LW3" s="146"/>
      <c r="LX3" s="146">
        <v>6</v>
      </c>
      <c r="LY3" s="146">
        <v>2</v>
      </c>
      <c r="LZ3" s="146"/>
      <c r="MA3" s="146"/>
      <c r="MB3" s="146"/>
      <c r="MC3" s="146"/>
      <c r="MD3" s="146"/>
      <c r="ME3" s="146"/>
      <c r="MF3" s="146"/>
      <c r="MG3" s="146"/>
      <c r="MH3" s="146"/>
      <c r="MI3" s="146"/>
      <c r="MJ3" s="146"/>
      <c r="MK3" s="146"/>
      <c r="ML3" s="146"/>
      <c r="MM3" s="146">
        <v>5</v>
      </c>
      <c r="MN3" s="146">
        <v>2</v>
      </c>
      <c r="MO3" s="146"/>
      <c r="MP3" s="146"/>
      <c r="MQ3" s="146">
        <v>6</v>
      </c>
      <c r="MR3" s="146"/>
      <c r="MS3" s="146"/>
      <c r="MT3" s="146"/>
      <c r="MU3" s="146"/>
      <c r="MV3" s="146"/>
      <c r="MW3" s="146"/>
      <c r="MX3" s="146"/>
      <c r="MY3" s="146"/>
      <c r="MZ3" s="146"/>
      <c r="NA3" s="146"/>
      <c r="NB3" s="146"/>
      <c r="NC3" s="146"/>
      <c r="ND3" s="146"/>
      <c r="NE3" s="146"/>
      <c r="NF3" s="146"/>
      <c r="NG3" s="146"/>
      <c r="NH3" s="146"/>
      <c r="NI3" s="146"/>
      <c r="NJ3" s="146"/>
      <c r="NK3" s="146"/>
      <c r="NL3" s="146"/>
      <c r="NM3" s="146"/>
      <c r="NN3" s="146"/>
      <c r="NO3" s="146"/>
      <c r="NP3" s="146"/>
      <c r="NQ3" s="146"/>
      <c r="NR3" s="146"/>
      <c r="NS3" s="146"/>
      <c r="NT3" s="146"/>
      <c r="NU3" s="146"/>
      <c r="NV3" s="146"/>
      <c r="NW3" s="146"/>
      <c r="NX3" s="146"/>
      <c r="NY3" s="146"/>
      <c r="NZ3" s="146"/>
      <c r="OA3" s="146">
        <v>1</v>
      </c>
      <c r="OB3" s="146"/>
      <c r="OC3" s="146"/>
      <c r="OD3" s="146"/>
      <c r="OE3" s="146"/>
      <c r="OF3" s="146"/>
      <c r="OG3" s="146"/>
      <c r="OH3" s="146"/>
      <c r="OI3" s="146"/>
      <c r="OJ3" s="146"/>
      <c r="OK3" s="146"/>
      <c r="OL3" s="146"/>
      <c r="OM3" s="146"/>
      <c r="ON3" s="146"/>
      <c r="OO3" s="146"/>
      <c r="OP3" s="146"/>
      <c r="OQ3" s="146"/>
      <c r="OR3" s="146"/>
      <c r="OS3" s="146"/>
      <c r="OT3" s="146"/>
      <c r="OU3" s="146"/>
      <c r="OV3" s="146"/>
      <c r="OW3" s="146"/>
      <c r="OX3" s="146"/>
      <c r="OY3" s="144"/>
      <c r="OZ3" s="146"/>
      <c r="PA3" s="144"/>
      <c r="PB3" s="146"/>
      <c r="PC3" s="146"/>
      <c r="PD3" s="144"/>
      <c r="PE3" s="144"/>
      <c r="PF3" s="146"/>
      <c r="PG3" s="146"/>
      <c r="PH3" s="144"/>
      <c r="PI3" s="144"/>
      <c r="PJ3" s="144"/>
      <c r="PK3" s="146"/>
      <c r="PL3" s="146"/>
      <c r="PM3" s="144"/>
      <c r="PN3" s="146"/>
      <c r="PO3" s="146"/>
      <c r="PP3" s="146"/>
      <c r="PQ3" s="146"/>
      <c r="PR3" s="144"/>
      <c r="PS3" s="146"/>
      <c r="PT3" s="146"/>
      <c r="PU3" s="146"/>
      <c r="PV3" s="146"/>
      <c r="PW3" s="146"/>
      <c r="PX3" s="146"/>
      <c r="PY3" s="146"/>
      <c r="PZ3" s="146"/>
      <c r="QA3" s="144"/>
      <c r="QB3" s="144"/>
      <c r="QC3" s="144"/>
      <c r="QD3" s="144"/>
      <c r="QE3" s="144"/>
      <c r="QF3" s="144"/>
      <c r="QG3" s="146"/>
      <c r="QH3" s="146"/>
      <c r="QI3" s="146"/>
      <c r="QJ3" s="146"/>
      <c r="QK3" s="144"/>
      <c r="QL3" s="144"/>
      <c r="QM3" s="146"/>
      <c r="QN3" s="146"/>
      <c r="QO3" s="146"/>
      <c r="QP3" s="146"/>
      <c r="QQ3" s="146"/>
      <c r="QR3" s="146"/>
      <c r="QS3" s="146"/>
      <c r="QT3" s="146"/>
      <c r="QU3" s="146"/>
      <c r="QV3" s="146"/>
      <c r="QW3" s="146"/>
      <c r="QX3" s="146"/>
      <c r="QY3" s="144"/>
      <c r="QZ3" s="144"/>
      <c r="RA3" s="146"/>
      <c r="RB3" s="144"/>
      <c r="RC3" s="144"/>
      <c r="RD3" s="144"/>
      <c r="RE3" s="144"/>
      <c r="RF3" s="144"/>
      <c r="RG3" s="146"/>
      <c r="RH3" s="144"/>
      <c r="RI3" s="146"/>
      <c r="RJ3" s="146"/>
      <c r="RK3" s="146"/>
      <c r="RL3" s="146"/>
      <c r="RM3" s="144"/>
      <c r="RN3" s="144"/>
      <c r="RO3" s="146"/>
      <c r="RP3" s="146"/>
      <c r="RQ3" s="146"/>
      <c r="RR3" s="146"/>
      <c r="RS3" s="146"/>
      <c r="RT3" s="144"/>
      <c r="RU3" s="144"/>
      <c r="RV3" s="146"/>
      <c r="RW3" s="146"/>
      <c r="RX3" s="146"/>
      <c r="RY3" s="146"/>
      <c r="RZ3" s="146"/>
      <c r="SA3" s="146"/>
      <c r="SB3" s="146"/>
      <c r="SC3" s="146"/>
      <c r="SD3" s="144"/>
      <c r="SE3" s="144"/>
      <c r="SF3" s="144"/>
      <c r="SG3" s="146"/>
      <c r="SH3" s="146"/>
      <c r="SI3" s="144"/>
      <c r="SJ3" s="146"/>
      <c r="SK3" s="146"/>
      <c r="SL3" s="146"/>
      <c r="SM3" s="146"/>
      <c r="SN3" s="144"/>
      <c r="SO3" s="146"/>
      <c r="SP3" s="144"/>
      <c r="SQ3" s="146"/>
    </row>
    <row r="4" spans="1:511" ht="28.5" customHeight="1">
      <c r="A4" s="129">
        <v>8</v>
      </c>
      <c r="B4" s="117" t="s">
        <v>658</v>
      </c>
      <c r="C4" s="108" t="s">
        <v>389</v>
      </c>
      <c r="D4" s="116" t="s">
        <v>549</v>
      </c>
      <c r="E4" s="117" t="s">
        <v>385</v>
      </c>
      <c r="F4" s="117" t="s">
        <v>385</v>
      </c>
      <c r="G4" s="117">
        <v>20</v>
      </c>
      <c r="H4" s="131">
        <v>39</v>
      </c>
      <c r="I4" s="131">
        <v>27</v>
      </c>
      <c r="K4" s="131">
        <v>16</v>
      </c>
      <c r="L4" s="131">
        <v>11</v>
      </c>
      <c r="M4" s="131">
        <v>22</v>
      </c>
      <c r="N4" s="131">
        <v>19</v>
      </c>
      <c r="R4" s="2" t="s">
        <v>743</v>
      </c>
      <c r="S4" s="146">
        <v>2</v>
      </c>
      <c r="T4" s="146"/>
      <c r="U4" s="146"/>
      <c r="V4" s="146"/>
      <c r="W4" s="146"/>
      <c r="X4" s="146"/>
      <c r="Y4" s="146"/>
      <c r="Z4" s="146">
        <v>1</v>
      </c>
      <c r="AA4" s="146"/>
      <c r="AB4" s="146"/>
      <c r="AC4" s="146"/>
      <c r="AD4" s="146"/>
      <c r="AE4" s="146"/>
      <c r="AF4" s="146"/>
      <c r="AG4" s="146">
        <v>7</v>
      </c>
      <c r="AH4" s="146"/>
      <c r="AI4" s="146"/>
      <c r="AJ4" s="146"/>
      <c r="AK4" s="146"/>
      <c r="AL4" s="146"/>
      <c r="AM4" s="146">
        <v>1</v>
      </c>
      <c r="AN4" s="146"/>
      <c r="AO4" s="146"/>
      <c r="AP4" s="146"/>
      <c r="AQ4" s="146"/>
      <c r="AR4" s="146"/>
      <c r="AS4" s="146"/>
      <c r="AT4" s="146"/>
      <c r="AU4" s="146">
        <v>1</v>
      </c>
      <c r="AV4" s="146"/>
      <c r="AW4" s="146"/>
      <c r="AX4" s="146"/>
      <c r="AY4" s="146"/>
      <c r="AZ4" s="146"/>
      <c r="BA4" s="146"/>
      <c r="BB4" s="146"/>
      <c r="BC4" s="146">
        <v>2</v>
      </c>
      <c r="BD4" s="146"/>
      <c r="BE4" s="146"/>
      <c r="BF4" s="146"/>
      <c r="BG4" s="146"/>
      <c r="BH4" s="146"/>
      <c r="BI4" s="146">
        <v>1</v>
      </c>
      <c r="BJ4" s="146">
        <v>1</v>
      </c>
      <c r="BK4" s="146"/>
      <c r="BL4" s="146"/>
      <c r="BM4" s="146"/>
      <c r="BN4" s="146"/>
      <c r="BO4" s="146">
        <v>2</v>
      </c>
      <c r="BP4" s="146"/>
      <c r="BQ4" s="146"/>
      <c r="BR4" s="146"/>
      <c r="BS4" s="146"/>
      <c r="BT4" s="146"/>
      <c r="BU4" s="146"/>
      <c r="BV4" s="146"/>
      <c r="BW4" s="146">
        <v>3</v>
      </c>
      <c r="BX4" s="146">
        <v>1</v>
      </c>
      <c r="BY4" s="146"/>
      <c r="BZ4" s="146"/>
      <c r="CA4" s="146"/>
      <c r="CB4" s="146"/>
      <c r="CC4" s="146"/>
      <c r="CD4" s="146"/>
      <c r="CE4" s="146"/>
      <c r="CF4" s="146"/>
      <c r="CG4" s="146">
        <v>2</v>
      </c>
      <c r="CH4" s="146"/>
      <c r="CI4" s="146">
        <v>2</v>
      </c>
      <c r="CJ4" s="146">
        <v>1</v>
      </c>
      <c r="CK4" s="146">
        <v>1</v>
      </c>
      <c r="CL4" s="146"/>
      <c r="CM4" s="146">
        <v>1</v>
      </c>
      <c r="CN4" s="146"/>
      <c r="CO4" s="146">
        <v>1</v>
      </c>
      <c r="CP4" s="146"/>
      <c r="CQ4" s="146"/>
      <c r="CR4" s="146">
        <v>1</v>
      </c>
      <c r="CS4" s="146"/>
      <c r="CT4" s="146">
        <v>1</v>
      </c>
      <c r="CU4" s="146">
        <v>1</v>
      </c>
      <c r="CV4" s="146"/>
      <c r="CW4" s="146"/>
      <c r="CX4" s="146">
        <v>3</v>
      </c>
      <c r="CY4" s="146"/>
      <c r="CZ4" s="146">
        <v>1</v>
      </c>
      <c r="DA4" s="146"/>
      <c r="DB4" s="146">
        <v>2</v>
      </c>
      <c r="DC4" s="146"/>
      <c r="DD4" s="146"/>
      <c r="DE4" s="146"/>
      <c r="DF4" s="146">
        <v>1</v>
      </c>
      <c r="DG4" s="146"/>
      <c r="DH4" s="146"/>
      <c r="DI4" s="146"/>
      <c r="DJ4" s="146"/>
      <c r="DK4" s="146">
        <v>1</v>
      </c>
      <c r="DL4" s="146"/>
      <c r="DM4" s="146"/>
      <c r="DN4" s="146"/>
      <c r="DO4" s="146"/>
      <c r="DP4" s="146">
        <v>1</v>
      </c>
      <c r="DQ4" s="146"/>
      <c r="DR4" s="146"/>
      <c r="DS4" s="146"/>
      <c r="DT4" s="146"/>
      <c r="DU4" s="146"/>
      <c r="DV4" s="146"/>
      <c r="DW4" s="146"/>
      <c r="DX4" s="146"/>
      <c r="DY4" s="146"/>
      <c r="DZ4" s="146"/>
      <c r="EA4" s="146">
        <v>2</v>
      </c>
      <c r="EB4" s="146"/>
      <c r="EC4" s="146"/>
      <c r="ED4" s="146"/>
      <c r="EE4" s="146">
        <v>1</v>
      </c>
      <c r="EF4" s="146"/>
      <c r="EG4" s="146"/>
      <c r="EH4" s="146"/>
      <c r="EI4" s="146">
        <v>2</v>
      </c>
      <c r="EJ4" s="146"/>
      <c r="EK4" s="146"/>
      <c r="EL4" s="146"/>
      <c r="EM4" s="146"/>
      <c r="EN4" s="146">
        <v>1</v>
      </c>
      <c r="EO4" s="146"/>
      <c r="EP4" s="146"/>
      <c r="EQ4" s="146"/>
      <c r="ER4" s="146"/>
      <c r="ES4" s="146"/>
      <c r="ET4" s="146"/>
      <c r="EU4" s="146"/>
      <c r="EV4" s="146"/>
      <c r="EW4" s="146"/>
      <c r="EX4" s="146"/>
      <c r="EY4" s="146"/>
      <c r="EZ4" s="146"/>
      <c r="FA4" s="68" t="s">
        <v>743</v>
      </c>
      <c r="FB4" s="146" t="s">
        <v>549</v>
      </c>
      <c r="FC4" s="146" t="s">
        <v>385</v>
      </c>
      <c r="FD4" s="146" t="s">
        <v>625</v>
      </c>
      <c r="FE4" s="146">
        <v>17</v>
      </c>
      <c r="FF4" s="146">
        <v>8</v>
      </c>
      <c r="FG4" s="146"/>
      <c r="FH4" s="146"/>
      <c r="FI4" s="146"/>
      <c r="FJ4" s="134">
        <v>2</v>
      </c>
      <c r="FK4" s="146"/>
      <c r="FL4" s="134"/>
      <c r="FM4" s="146"/>
      <c r="FN4" s="146"/>
      <c r="FO4" s="134"/>
      <c r="FP4" s="134">
        <v>1</v>
      </c>
      <c r="FQ4" s="134">
        <v>5</v>
      </c>
      <c r="FR4" s="134"/>
      <c r="FS4" s="134">
        <v>1</v>
      </c>
      <c r="FT4" s="134">
        <v>1</v>
      </c>
      <c r="FU4" s="134"/>
      <c r="FV4" s="146"/>
      <c r="FW4" s="146"/>
      <c r="FX4" s="134"/>
      <c r="FY4" s="146"/>
      <c r="FZ4" s="146"/>
      <c r="GA4" s="134">
        <v>2</v>
      </c>
      <c r="GB4" s="134"/>
      <c r="GC4" s="134"/>
      <c r="GD4" s="146"/>
      <c r="GE4" s="146"/>
      <c r="GF4" s="146"/>
      <c r="GG4" s="146"/>
      <c r="GH4" s="146"/>
      <c r="GI4" s="146"/>
      <c r="GJ4" s="134"/>
      <c r="GK4" s="146"/>
      <c r="GL4" s="134">
        <v>1</v>
      </c>
      <c r="GM4" s="134">
        <v>1</v>
      </c>
      <c r="GN4" s="134"/>
      <c r="GO4" s="134"/>
      <c r="GP4" s="134">
        <v>1</v>
      </c>
      <c r="GQ4" s="134"/>
      <c r="GR4" s="146"/>
      <c r="GS4" s="146"/>
      <c r="GT4" s="146"/>
      <c r="GU4" s="146"/>
      <c r="GV4" s="134"/>
      <c r="GW4" s="134"/>
      <c r="GX4" s="146"/>
      <c r="GY4" s="146"/>
      <c r="GZ4" s="146"/>
      <c r="HA4" s="146"/>
      <c r="HB4" s="146"/>
      <c r="HC4" s="146"/>
      <c r="HD4" s="146"/>
      <c r="HE4" s="134">
        <v>3</v>
      </c>
      <c r="HF4" s="134"/>
      <c r="HG4" s="134">
        <v>1</v>
      </c>
      <c r="HH4" s="134"/>
      <c r="HI4" s="134"/>
      <c r="HJ4" s="134"/>
      <c r="HK4" s="134"/>
      <c r="HL4" s="134"/>
      <c r="HM4" s="134">
        <v>3</v>
      </c>
      <c r="HN4" s="134"/>
      <c r="HO4" s="134">
        <v>1</v>
      </c>
      <c r="HP4" s="134"/>
      <c r="HQ4" s="134">
        <v>1</v>
      </c>
      <c r="HR4" s="134">
        <v>1</v>
      </c>
      <c r="HS4" s="134">
        <v>1</v>
      </c>
      <c r="HT4" s="134">
        <v>2</v>
      </c>
      <c r="HU4" s="134"/>
      <c r="HV4" s="134">
        <v>1</v>
      </c>
      <c r="HW4" s="134">
        <v>1</v>
      </c>
      <c r="HX4" s="134"/>
      <c r="HY4" s="134"/>
      <c r="HZ4" s="146"/>
      <c r="IA4" s="146"/>
      <c r="IB4" s="146"/>
      <c r="IC4" s="134">
        <v>1</v>
      </c>
      <c r="ID4" s="134"/>
      <c r="IE4" s="134">
        <v>1</v>
      </c>
      <c r="IF4" s="134"/>
      <c r="IG4" s="146"/>
      <c r="IH4" s="146"/>
      <c r="II4" s="146"/>
      <c r="IJ4" s="146"/>
      <c r="IK4" s="146"/>
      <c r="IL4" s="146"/>
      <c r="IM4" s="146"/>
      <c r="IN4" s="146"/>
      <c r="IO4" s="134">
        <v>3</v>
      </c>
      <c r="IP4" s="134">
        <v>1</v>
      </c>
      <c r="IQ4" s="134"/>
      <c r="IR4" s="146"/>
      <c r="IS4" s="134"/>
      <c r="IT4" s="134">
        <v>2</v>
      </c>
      <c r="IU4" s="146"/>
      <c r="IV4" s="146"/>
      <c r="IW4" s="146"/>
      <c r="IX4" s="146"/>
      <c r="IY4" s="134">
        <v>3</v>
      </c>
      <c r="IZ4" s="134">
        <v>1</v>
      </c>
      <c r="JA4" s="134"/>
      <c r="JB4" s="146"/>
      <c r="JC4" s="146"/>
      <c r="JD4" s="117" t="s">
        <v>385</v>
      </c>
      <c r="JE4" s="117">
        <v>14</v>
      </c>
      <c r="JF4" s="146">
        <v>11</v>
      </c>
      <c r="JG4" s="131">
        <v>11</v>
      </c>
      <c r="JH4" s="146">
        <v>1</v>
      </c>
      <c r="JI4" s="146"/>
      <c r="JJ4" s="146"/>
      <c r="JK4" s="146"/>
      <c r="JL4" s="146"/>
      <c r="JM4" s="146"/>
      <c r="JN4" s="146"/>
      <c r="JO4" s="146"/>
      <c r="JP4" s="146"/>
      <c r="JQ4" s="146"/>
      <c r="JR4" s="146"/>
      <c r="JS4" s="146"/>
      <c r="JT4" s="146"/>
      <c r="JU4" s="146"/>
      <c r="JV4" s="146">
        <v>1</v>
      </c>
      <c r="JW4" s="146"/>
      <c r="JX4" s="146"/>
      <c r="JY4" s="146"/>
      <c r="JZ4" s="146"/>
      <c r="KA4" s="146"/>
      <c r="KB4" s="146"/>
      <c r="KC4" s="146"/>
      <c r="KD4" s="146"/>
      <c r="KE4" s="146"/>
      <c r="KF4" s="146"/>
      <c r="KG4" s="146"/>
      <c r="KH4" s="146"/>
      <c r="KI4" s="146"/>
      <c r="KJ4" s="146"/>
      <c r="KK4" s="146"/>
      <c r="KL4" s="146"/>
      <c r="KM4" s="146"/>
      <c r="KN4" s="146"/>
      <c r="KO4" s="146"/>
      <c r="KP4" s="146"/>
      <c r="KQ4" s="146"/>
      <c r="KR4" s="146">
        <v>1</v>
      </c>
      <c r="KS4" s="146"/>
      <c r="KT4" s="146"/>
      <c r="KU4" s="146"/>
      <c r="KV4" s="146"/>
      <c r="KW4" s="146"/>
      <c r="KX4" s="146"/>
      <c r="KY4" s="146"/>
      <c r="KZ4" s="146"/>
      <c r="LA4" s="146"/>
      <c r="LB4" s="146"/>
      <c r="LC4" s="146"/>
      <c r="LD4" s="146">
        <v>1</v>
      </c>
      <c r="LE4" s="146"/>
      <c r="LF4" s="146"/>
      <c r="LG4" s="146"/>
      <c r="LH4" s="146"/>
      <c r="LI4" s="146"/>
      <c r="LJ4" s="146"/>
      <c r="LK4" s="146"/>
      <c r="LL4" s="146"/>
      <c r="LM4" s="146"/>
      <c r="LN4" s="146"/>
      <c r="LO4" s="146"/>
      <c r="LP4" s="146"/>
      <c r="LQ4" s="146"/>
      <c r="LR4" s="146"/>
      <c r="LS4" s="146"/>
      <c r="LT4" s="146"/>
      <c r="LU4" s="146"/>
      <c r="LV4" s="146">
        <v>2</v>
      </c>
      <c r="LW4" s="146"/>
      <c r="LX4" s="146">
        <v>2</v>
      </c>
      <c r="LY4" s="146"/>
      <c r="LZ4" s="146"/>
      <c r="MA4" s="146"/>
      <c r="MB4" s="146"/>
      <c r="MC4" s="146"/>
      <c r="MD4" s="146">
        <v>1</v>
      </c>
      <c r="ME4" s="146"/>
      <c r="MF4" s="146"/>
      <c r="MG4" s="146"/>
      <c r="MH4" s="146"/>
      <c r="MI4" s="146"/>
      <c r="MJ4" s="146"/>
      <c r="MK4" s="146"/>
      <c r="ML4" s="146"/>
      <c r="MM4" s="146">
        <v>2</v>
      </c>
      <c r="MN4" s="146"/>
      <c r="MO4" s="146">
        <v>1</v>
      </c>
      <c r="MP4" s="146"/>
      <c r="MQ4" s="146">
        <v>2</v>
      </c>
      <c r="MR4" s="146"/>
      <c r="MS4" s="146"/>
      <c r="MT4" s="146"/>
      <c r="MU4" s="146">
        <v>1</v>
      </c>
      <c r="MV4" s="146"/>
      <c r="MW4" s="146"/>
      <c r="MX4" s="146"/>
      <c r="MY4" s="146"/>
      <c r="MZ4" s="146">
        <v>1</v>
      </c>
      <c r="NA4" s="146"/>
      <c r="NB4" s="146"/>
      <c r="NC4" s="146"/>
      <c r="ND4" s="146"/>
      <c r="NE4" s="146"/>
      <c r="NF4" s="146"/>
      <c r="NG4" s="146"/>
      <c r="NH4" s="146"/>
      <c r="NI4" s="146"/>
      <c r="NJ4" s="146"/>
      <c r="NK4" s="146"/>
      <c r="NL4" s="146"/>
      <c r="NM4" s="146"/>
      <c r="NN4" s="146"/>
      <c r="NO4" s="146"/>
      <c r="NP4" s="146">
        <v>1</v>
      </c>
      <c r="NQ4" s="146"/>
      <c r="NR4" s="146"/>
      <c r="NS4" s="146"/>
      <c r="NT4" s="146"/>
      <c r="NU4" s="146"/>
      <c r="NV4" s="146"/>
      <c r="NW4" s="146"/>
      <c r="NX4" s="146"/>
      <c r="NY4" s="146"/>
      <c r="NZ4" s="146"/>
      <c r="OA4" s="146"/>
      <c r="OB4" s="146"/>
      <c r="OC4" s="146"/>
      <c r="OD4" s="146"/>
      <c r="OE4" s="146"/>
      <c r="OF4" s="146"/>
      <c r="OG4" s="146"/>
      <c r="OH4" s="146"/>
      <c r="OI4" s="146"/>
      <c r="OJ4" s="146"/>
      <c r="OK4" s="146"/>
      <c r="OL4" s="146"/>
      <c r="OM4" s="146"/>
      <c r="ON4" s="146"/>
      <c r="OO4" s="146"/>
      <c r="OP4" s="146" t="s">
        <v>389</v>
      </c>
      <c r="OQ4" s="146" t="s">
        <v>549</v>
      </c>
      <c r="OR4" s="146" t="s">
        <v>385</v>
      </c>
      <c r="OS4" s="146" t="s">
        <v>625</v>
      </c>
      <c r="OT4" s="146">
        <v>12</v>
      </c>
      <c r="OU4" s="146">
        <v>4</v>
      </c>
      <c r="OV4" s="146"/>
      <c r="OW4" s="146"/>
      <c r="OX4" s="146"/>
      <c r="OY4" s="134">
        <v>1</v>
      </c>
      <c r="OZ4" s="146"/>
      <c r="PA4" s="134"/>
      <c r="PB4" s="146"/>
      <c r="PC4" s="146"/>
      <c r="PD4" s="134"/>
      <c r="PE4" s="134">
        <v>1</v>
      </c>
      <c r="PF4" s="134"/>
      <c r="PG4" s="134"/>
      <c r="PH4" s="134"/>
      <c r="PI4" s="134">
        <v>1</v>
      </c>
      <c r="PJ4" s="134"/>
      <c r="PK4" s="146"/>
      <c r="PL4" s="146"/>
      <c r="PM4" s="134"/>
      <c r="PN4" s="146"/>
      <c r="PO4" s="146"/>
      <c r="PP4" s="134">
        <v>2</v>
      </c>
      <c r="PQ4" s="134"/>
      <c r="PR4" s="134"/>
      <c r="PS4" s="146"/>
      <c r="PT4" s="146"/>
      <c r="PU4" s="146"/>
      <c r="PV4" s="146"/>
      <c r="PW4" s="146"/>
      <c r="PX4" s="146"/>
      <c r="PY4" s="134"/>
      <c r="PZ4" s="146"/>
      <c r="QA4" s="134"/>
      <c r="QB4" s="134"/>
      <c r="QC4" s="134"/>
      <c r="QD4" s="134"/>
      <c r="QE4" s="134"/>
      <c r="QF4" s="134"/>
      <c r="QG4" s="146"/>
      <c r="QH4" s="146"/>
      <c r="QI4" s="146"/>
      <c r="QJ4" s="146"/>
      <c r="QK4" s="134"/>
      <c r="QL4" s="134"/>
      <c r="QM4" s="146"/>
      <c r="QN4" s="146"/>
      <c r="QO4" s="146"/>
      <c r="QP4" s="146"/>
      <c r="QQ4" s="146">
        <v>3</v>
      </c>
      <c r="QR4" s="146"/>
      <c r="QS4" s="146"/>
      <c r="QT4" s="134"/>
      <c r="QU4" s="134"/>
      <c r="QV4" s="134"/>
      <c r="QW4" s="134"/>
      <c r="QX4" s="134"/>
      <c r="QY4" s="134"/>
      <c r="QZ4" s="134"/>
      <c r="RA4" s="134"/>
      <c r="RB4" s="134">
        <v>1</v>
      </c>
      <c r="RC4" s="134"/>
      <c r="RD4" s="134"/>
      <c r="RE4" s="134"/>
      <c r="RF4" s="134"/>
      <c r="RG4" s="134"/>
      <c r="RH4" s="134"/>
      <c r="RI4" s="134">
        <v>3</v>
      </c>
      <c r="RJ4" s="134"/>
      <c r="RK4" s="134"/>
      <c r="RL4" s="134"/>
      <c r="RM4" s="134"/>
      <c r="RN4" s="134"/>
      <c r="RO4" s="146"/>
      <c r="RP4" s="146"/>
      <c r="RQ4" s="146"/>
      <c r="RR4" s="134">
        <v>1</v>
      </c>
      <c r="RS4" s="134"/>
      <c r="RT4" s="134"/>
      <c r="RU4" s="134"/>
      <c r="RV4" s="146"/>
      <c r="RW4" s="146"/>
      <c r="RX4" s="146"/>
      <c r="RY4" s="146"/>
      <c r="RZ4" s="146"/>
      <c r="SA4" s="146"/>
      <c r="SB4" s="146"/>
      <c r="SC4" s="146"/>
      <c r="SD4" s="134">
        <v>1</v>
      </c>
      <c r="SE4" s="134"/>
      <c r="SF4" s="134"/>
      <c r="SG4" s="146"/>
      <c r="SH4" s="134"/>
      <c r="SI4" s="134">
        <v>2</v>
      </c>
      <c r="SJ4" s="146"/>
      <c r="SK4" s="146"/>
      <c r="SL4" s="146"/>
      <c r="SM4" s="146"/>
      <c r="SN4" s="134"/>
      <c r="SO4" s="134"/>
      <c r="SP4" s="134"/>
      <c r="SQ4" s="146"/>
    </row>
    <row r="5" spans="1:511" ht="28.5" customHeight="1">
      <c r="A5" s="129">
        <v>9</v>
      </c>
      <c r="B5" s="117" t="s">
        <v>654</v>
      </c>
      <c r="C5" s="109" t="s">
        <v>655</v>
      </c>
      <c r="D5" s="116" t="s">
        <v>549</v>
      </c>
      <c r="E5" s="117" t="s">
        <v>384</v>
      </c>
      <c r="F5" s="117" t="s">
        <v>385</v>
      </c>
      <c r="G5" s="117">
        <v>24</v>
      </c>
      <c r="H5" s="131">
        <v>47</v>
      </c>
      <c r="I5" s="131">
        <v>47</v>
      </c>
      <c r="J5" s="131">
        <v>67</v>
      </c>
      <c r="K5" s="131">
        <v>19</v>
      </c>
      <c r="L5" s="131">
        <v>28</v>
      </c>
      <c r="M5" s="131">
        <v>47</v>
      </c>
      <c r="N5" s="131">
        <v>47</v>
      </c>
      <c r="R5" s="161" t="s">
        <v>617</v>
      </c>
      <c r="S5" s="146"/>
      <c r="T5" s="146"/>
      <c r="U5" s="146"/>
      <c r="V5" s="146"/>
      <c r="W5" s="146"/>
      <c r="X5" s="146"/>
      <c r="Y5" s="146"/>
      <c r="Z5" s="146"/>
      <c r="AA5" s="146"/>
      <c r="AB5" s="146"/>
      <c r="AC5" s="146"/>
      <c r="AD5" s="146"/>
      <c r="AE5" s="146"/>
      <c r="AF5" s="146"/>
      <c r="AG5" s="146">
        <v>10</v>
      </c>
      <c r="AH5" s="146"/>
      <c r="AI5" s="146"/>
      <c r="AJ5" s="146"/>
      <c r="AK5" s="146"/>
      <c r="AL5" s="146"/>
      <c r="AM5" s="146"/>
      <c r="AN5" s="146"/>
      <c r="AO5" s="146"/>
      <c r="AP5" s="146"/>
      <c r="AQ5" s="146"/>
      <c r="AR5" s="146"/>
      <c r="AS5" s="146"/>
      <c r="AT5" s="146"/>
      <c r="AU5" s="146"/>
      <c r="AV5" s="146"/>
      <c r="AW5" s="146"/>
      <c r="AX5" s="146"/>
      <c r="AY5" s="146"/>
      <c r="AZ5" s="146"/>
      <c r="BA5" s="146"/>
      <c r="BB5" s="146"/>
      <c r="BC5" s="146"/>
      <c r="BD5" s="146"/>
      <c r="BE5" s="146"/>
      <c r="BF5" s="146"/>
      <c r="BG5" s="146"/>
      <c r="BH5" s="146"/>
      <c r="BI5" s="146"/>
      <c r="BJ5" s="146"/>
      <c r="BK5" s="146"/>
      <c r="BL5" s="146"/>
      <c r="BM5" s="146"/>
      <c r="BN5" s="146"/>
      <c r="BO5" s="146"/>
      <c r="BP5" s="146"/>
      <c r="BQ5" s="146"/>
      <c r="BR5" s="146"/>
      <c r="BS5" s="146"/>
      <c r="BT5" s="146"/>
      <c r="BU5" s="146"/>
      <c r="BV5" s="146"/>
      <c r="BW5" s="146"/>
      <c r="BX5" s="146"/>
      <c r="BY5" s="146"/>
      <c r="BZ5" s="146"/>
      <c r="CA5" s="146"/>
      <c r="CB5" s="146"/>
      <c r="CC5" s="146"/>
      <c r="CD5" s="146"/>
      <c r="CE5" s="146"/>
      <c r="CF5" s="146"/>
      <c r="CG5" s="146"/>
      <c r="CH5" s="146"/>
      <c r="CI5" s="146"/>
      <c r="CJ5" s="146"/>
      <c r="CK5" s="146"/>
      <c r="CL5" s="146"/>
      <c r="CM5" s="146"/>
      <c r="CN5" s="146"/>
      <c r="CO5" s="146"/>
      <c r="CP5" s="146"/>
      <c r="CQ5" s="146"/>
      <c r="CR5" s="146"/>
      <c r="CS5" s="146"/>
      <c r="CT5" s="146"/>
      <c r="CU5" s="146"/>
      <c r="CV5" s="146"/>
      <c r="CW5" s="146"/>
      <c r="CX5" s="146"/>
      <c r="CY5" s="146"/>
      <c r="CZ5" s="146"/>
      <c r="DA5" s="146"/>
      <c r="DB5" s="146">
        <v>6</v>
      </c>
      <c r="DC5" s="146"/>
      <c r="DD5" s="146"/>
      <c r="DE5" s="146"/>
      <c r="DF5" s="146"/>
      <c r="DG5" s="146"/>
      <c r="DH5" s="146"/>
      <c r="DI5" s="146"/>
      <c r="DJ5" s="146"/>
      <c r="DK5" s="146"/>
      <c r="DL5" s="146"/>
      <c r="DM5" s="146"/>
      <c r="DN5" s="146"/>
      <c r="DO5" s="146"/>
      <c r="DP5" s="146"/>
      <c r="DQ5" s="146"/>
      <c r="DR5" s="146"/>
      <c r="DS5" s="146"/>
      <c r="DT5" s="146"/>
      <c r="DU5" s="146"/>
      <c r="DV5" s="146"/>
      <c r="DW5" s="146"/>
      <c r="DX5" s="146"/>
      <c r="DY5" s="146"/>
      <c r="DZ5" s="146"/>
      <c r="EA5" s="146"/>
      <c r="EB5" s="146"/>
      <c r="EC5" s="146"/>
      <c r="ED5" s="146"/>
      <c r="EE5" s="146"/>
      <c r="EF5" s="146"/>
      <c r="EG5" s="146"/>
      <c r="EH5" s="146"/>
      <c r="EI5" s="146"/>
      <c r="EJ5" s="146"/>
      <c r="EK5" s="146"/>
      <c r="EL5" s="146"/>
      <c r="EM5" s="146"/>
      <c r="EN5" s="146"/>
      <c r="EO5" s="146"/>
      <c r="EP5" s="146"/>
      <c r="EQ5" s="146"/>
      <c r="ER5" s="146"/>
      <c r="ES5" s="146"/>
      <c r="ET5" s="146"/>
      <c r="EU5" s="146"/>
      <c r="EV5" s="146"/>
      <c r="EW5" s="146"/>
      <c r="EX5" s="146"/>
      <c r="EY5" s="146"/>
      <c r="EZ5" s="146"/>
      <c r="FA5" s="68"/>
      <c r="FB5" s="146"/>
      <c r="FC5" s="146"/>
      <c r="FD5" s="146"/>
      <c r="FE5" s="146"/>
      <c r="FF5" s="146"/>
      <c r="FG5" s="146"/>
      <c r="FH5" s="146"/>
      <c r="FI5" s="146"/>
      <c r="FJ5" s="134"/>
      <c r="FK5" s="146"/>
      <c r="FL5" s="134"/>
      <c r="FM5" s="146"/>
      <c r="FN5" s="146"/>
      <c r="FO5" s="134"/>
      <c r="FP5" s="134"/>
      <c r="FQ5" s="134"/>
      <c r="FR5" s="134"/>
      <c r="FS5" s="134"/>
      <c r="FT5" s="134"/>
      <c r="FU5" s="134"/>
      <c r="FV5" s="146"/>
      <c r="FW5" s="146"/>
      <c r="FX5" s="134"/>
      <c r="FY5" s="146"/>
      <c r="FZ5" s="146"/>
      <c r="GA5" s="134"/>
      <c r="GB5" s="134"/>
      <c r="GC5" s="134"/>
      <c r="GD5" s="146"/>
      <c r="GE5" s="146"/>
      <c r="GF5" s="146"/>
      <c r="GG5" s="146"/>
      <c r="GH5" s="146"/>
      <c r="GI5" s="146"/>
      <c r="GJ5" s="134"/>
      <c r="GK5" s="146"/>
      <c r="GL5" s="134"/>
      <c r="GM5" s="134"/>
      <c r="GN5" s="134"/>
      <c r="GO5" s="134"/>
      <c r="GP5" s="134"/>
      <c r="GQ5" s="134"/>
      <c r="GR5" s="146"/>
      <c r="GS5" s="146"/>
      <c r="GT5" s="146"/>
      <c r="GU5" s="146"/>
      <c r="GV5" s="134"/>
      <c r="GW5" s="134"/>
      <c r="GX5" s="146"/>
      <c r="GY5" s="146"/>
      <c r="GZ5" s="146"/>
      <c r="HA5" s="146"/>
      <c r="HB5" s="146"/>
      <c r="HC5" s="146"/>
      <c r="HD5" s="146"/>
      <c r="HE5" s="134"/>
      <c r="HF5" s="134"/>
      <c r="HG5" s="134"/>
      <c r="HH5" s="134"/>
      <c r="HI5" s="134"/>
      <c r="HJ5" s="134"/>
      <c r="HK5" s="134"/>
      <c r="HL5" s="134"/>
      <c r="HM5" s="134"/>
      <c r="HN5" s="134"/>
      <c r="HO5" s="134"/>
      <c r="HP5" s="134"/>
      <c r="HQ5" s="134"/>
      <c r="HR5" s="134"/>
      <c r="HS5" s="134"/>
      <c r="HT5" s="134"/>
      <c r="HU5" s="134"/>
      <c r="HV5" s="134"/>
      <c r="HW5" s="134"/>
      <c r="HX5" s="134"/>
      <c r="HY5" s="134"/>
      <c r="HZ5" s="146"/>
      <c r="IA5" s="146"/>
      <c r="IB5" s="146"/>
      <c r="IC5" s="134"/>
      <c r="ID5" s="134"/>
      <c r="IE5" s="134"/>
      <c r="IF5" s="134"/>
      <c r="IG5" s="146"/>
      <c r="IH5" s="146"/>
      <c r="II5" s="146"/>
      <c r="IJ5" s="146"/>
      <c r="IK5" s="146"/>
      <c r="IL5" s="146"/>
      <c r="IM5" s="146"/>
      <c r="IN5" s="146"/>
      <c r="IO5" s="134"/>
      <c r="IP5" s="134"/>
      <c r="IQ5" s="134"/>
      <c r="IR5" s="146"/>
      <c r="IS5" s="134"/>
      <c r="IT5" s="134"/>
      <c r="IU5" s="146"/>
      <c r="IV5" s="146"/>
      <c r="IW5" s="146"/>
      <c r="IX5" s="146"/>
      <c r="IY5" s="134"/>
      <c r="IZ5" s="134"/>
      <c r="JA5" s="134"/>
      <c r="JB5" s="146"/>
      <c r="JC5" s="146"/>
      <c r="JD5" s="117" t="s">
        <v>385</v>
      </c>
      <c r="JE5" s="117">
        <v>24</v>
      </c>
      <c r="JF5" s="146">
        <v>24</v>
      </c>
      <c r="JG5" s="131">
        <v>24</v>
      </c>
      <c r="JH5" s="146"/>
      <c r="JI5" s="146"/>
      <c r="JJ5" s="146"/>
      <c r="JK5" s="146"/>
      <c r="JL5" s="146"/>
      <c r="JM5" s="146"/>
      <c r="JN5" s="146"/>
      <c r="JO5" s="146"/>
      <c r="JP5" s="146"/>
      <c r="JQ5" s="146"/>
      <c r="JR5" s="146"/>
      <c r="JS5" s="146"/>
      <c r="JT5" s="146"/>
      <c r="JU5" s="146"/>
      <c r="JV5" s="146">
        <v>3</v>
      </c>
      <c r="JW5" s="146"/>
      <c r="JX5" s="146"/>
      <c r="JY5" s="146"/>
      <c r="JZ5" s="146"/>
      <c r="KA5" s="146"/>
      <c r="KB5" s="146"/>
      <c r="KC5" s="146"/>
      <c r="KD5" s="146"/>
      <c r="KE5" s="146"/>
      <c r="KF5" s="146"/>
      <c r="KG5" s="146"/>
      <c r="KH5" s="146"/>
      <c r="KI5" s="146"/>
      <c r="KJ5" s="146"/>
      <c r="KK5" s="146"/>
      <c r="KL5" s="146"/>
      <c r="KM5" s="146"/>
      <c r="KN5" s="146"/>
      <c r="KO5" s="146"/>
      <c r="KP5" s="146"/>
      <c r="KQ5" s="146"/>
      <c r="KR5" s="146"/>
      <c r="KS5" s="146"/>
      <c r="KT5" s="146"/>
      <c r="KU5" s="146"/>
      <c r="KV5" s="146"/>
      <c r="KW5" s="146"/>
      <c r="KX5" s="146"/>
      <c r="KY5" s="146"/>
      <c r="KZ5" s="146"/>
      <c r="LA5" s="146"/>
      <c r="LB5" s="146"/>
      <c r="LC5" s="146"/>
      <c r="LD5" s="146"/>
      <c r="LE5" s="146"/>
      <c r="LF5" s="146"/>
      <c r="LG5" s="146"/>
      <c r="LH5" s="146"/>
      <c r="LI5" s="146"/>
      <c r="LJ5" s="146"/>
      <c r="LK5" s="146"/>
      <c r="LL5" s="146"/>
      <c r="LM5" s="146"/>
      <c r="LN5" s="146"/>
      <c r="LO5" s="146"/>
      <c r="LP5" s="146"/>
      <c r="LQ5" s="146"/>
      <c r="LR5" s="146"/>
      <c r="LS5" s="146"/>
      <c r="LT5" s="146"/>
      <c r="LU5" s="146"/>
      <c r="LV5" s="146"/>
      <c r="LW5" s="146"/>
      <c r="LX5" s="146"/>
      <c r="LY5" s="146"/>
      <c r="LZ5" s="146"/>
      <c r="MA5" s="146"/>
      <c r="MB5" s="146"/>
      <c r="MC5" s="146"/>
      <c r="MD5" s="146"/>
      <c r="ME5" s="146"/>
      <c r="MF5" s="146"/>
      <c r="MG5" s="146"/>
      <c r="MH5" s="146"/>
      <c r="MI5" s="146"/>
      <c r="MJ5" s="146"/>
      <c r="MK5" s="146"/>
      <c r="ML5" s="146"/>
      <c r="MM5" s="146"/>
      <c r="MN5" s="146"/>
      <c r="MO5" s="146"/>
      <c r="MP5" s="146"/>
      <c r="MQ5" s="146">
        <v>4</v>
      </c>
      <c r="MR5" s="146"/>
      <c r="MS5" s="146"/>
      <c r="MT5" s="146"/>
      <c r="MU5" s="146"/>
      <c r="MV5" s="146"/>
      <c r="MW5" s="146"/>
      <c r="MX5" s="146"/>
      <c r="MY5" s="146"/>
      <c r="MZ5" s="146"/>
      <c r="NA5" s="146"/>
      <c r="NB5" s="146"/>
      <c r="NC5" s="146"/>
      <c r="ND5" s="146"/>
      <c r="NE5" s="146"/>
      <c r="NF5" s="146"/>
      <c r="NG5" s="146"/>
      <c r="NH5" s="146"/>
      <c r="NI5" s="146"/>
      <c r="NJ5" s="146"/>
      <c r="NK5" s="146"/>
      <c r="NL5" s="146"/>
      <c r="NM5" s="146"/>
      <c r="NN5" s="146"/>
      <c r="NO5" s="146"/>
      <c r="NP5" s="146"/>
      <c r="NQ5" s="146"/>
      <c r="NR5" s="146"/>
      <c r="NS5" s="146"/>
      <c r="NT5" s="146"/>
      <c r="NU5" s="146"/>
      <c r="NV5" s="146"/>
      <c r="NW5" s="146"/>
      <c r="NX5" s="146"/>
      <c r="NY5" s="146"/>
      <c r="NZ5" s="146"/>
      <c r="OA5" s="146"/>
      <c r="OB5" s="146"/>
      <c r="OC5" s="146"/>
      <c r="OD5" s="146"/>
      <c r="OE5" s="146"/>
      <c r="OF5" s="146"/>
      <c r="OG5" s="146"/>
      <c r="OH5" s="146"/>
      <c r="OI5" s="146"/>
      <c r="OJ5" s="146"/>
      <c r="OK5" s="146"/>
      <c r="OL5" s="146"/>
      <c r="OM5" s="146"/>
      <c r="ON5" s="146"/>
      <c r="OO5" s="146"/>
      <c r="OP5" s="146"/>
      <c r="OQ5" s="146"/>
      <c r="OR5" s="146"/>
      <c r="OS5" s="146"/>
      <c r="OT5" s="146"/>
      <c r="OU5" s="146"/>
      <c r="OV5" s="146"/>
      <c r="OW5" s="146"/>
      <c r="OX5" s="146"/>
      <c r="OY5" s="134"/>
      <c r="OZ5" s="146"/>
      <c r="PA5" s="134"/>
      <c r="PB5" s="146"/>
      <c r="PC5" s="146"/>
      <c r="PD5" s="134"/>
      <c r="PE5" s="134"/>
      <c r="PF5" s="134"/>
      <c r="PG5" s="134"/>
      <c r="PH5" s="134"/>
      <c r="PI5" s="134"/>
      <c r="PJ5" s="134"/>
      <c r="PK5" s="146"/>
      <c r="PL5" s="146"/>
      <c r="PM5" s="134"/>
      <c r="PN5" s="146"/>
      <c r="PO5" s="146"/>
      <c r="PP5" s="134"/>
      <c r="PQ5" s="134"/>
      <c r="PR5" s="134"/>
      <c r="PS5" s="146"/>
      <c r="PT5" s="146"/>
      <c r="PU5" s="146"/>
      <c r="PV5" s="146"/>
      <c r="PW5" s="146"/>
      <c r="PX5" s="146"/>
      <c r="PY5" s="134"/>
      <c r="PZ5" s="146"/>
      <c r="QA5" s="134"/>
      <c r="QB5" s="134"/>
      <c r="QC5" s="134"/>
      <c r="QD5" s="134"/>
      <c r="QE5" s="134"/>
      <c r="QF5" s="134"/>
      <c r="QG5" s="146"/>
      <c r="QH5" s="146"/>
      <c r="QI5" s="146"/>
      <c r="QJ5" s="146"/>
      <c r="QK5" s="134"/>
      <c r="QL5" s="134"/>
      <c r="QM5" s="146"/>
      <c r="QN5" s="146"/>
      <c r="QO5" s="146"/>
      <c r="QP5" s="146"/>
      <c r="QQ5" s="146"/>
      <c r="QR5" s="146"/>
      <c r="QS5" s="146"/>
      <c r="QT5" s="134"/>
      <c r="QU5" s="134"/>
      <c r="QV5" s="134"/>
      <c r="QW5" s="134"/>
      <c r="QX5" s="134"/>
      <c r="QY5" s="134"/>
      <c r="QZ5" s="134"/>
      <c r="RA5" s="134"/>
      <c r="RB5" s="134"/>
      <c r="RC5" s="134"/>
      <c r="RD5" s="134"/>
      <c r="RE5" s="134"/>
      <c r="RF5" s="134"/>
      <c r="RG5" s="134"/>
      <c r="RH5" s="134"/>
      <c r="RI5" s="134"/>
      <c r="RJ5" s="134"/>
      <c r="RK5" s="134"/>
      <c r="RL5" s="134"/>
      <c r="RM5" s="134"/>
      <c r="RN5" s="134"/>
      <c r="RO5" s="146"/>
      <c r="RP5" s="146"/>
      <c r="RQ5" s="146"/>
      <c r="RR5" s="134"/>
      <c r="RS5" s="134"/>
      <c r="RT5" s="134"/>
      <c r="RU5" s="134"/>
      <c r="RV5" s="146"/>
      <c r="RW5" s="146"/>
      <c r="RX5" s="146"/>
      <c r="RY5" s="146"/>
      <c r="RZ5" s="146"/>
      <c r="SA5" s="146"/>
      <c r="SB5" s="146"/>
      <c r="SC5" s="146"/>
      <c r="SD5" s="134"/>
      <c r="SE5" s="134"/>
      <c r="SF5" s="134"/>
      <c r="SG5" s="146"/>
      <c r="SH5" s="134"/>
      <c r="SI5" s="134"/>
      <c r="SJ5" s="146"/>
      <c r="SK5" s="146"/>
      <c r="SL5" s="146"/>
      <c r="SM5" s="146"/>
      <c r="SN5" s="134"/>
      <c r="SO5" s="134"/>
      <c r="SP5" s="134"/>
      <c r="SQ5" s="146"/>
    </row>
    <row r="6" spans="1:511" ht="28.5" customHeight="1">
      <c r="A6" s="129">
        <v>17</v>
      </c>
      <c r="B6" s="117" t="s">
        <v>652</v>
      </c>
      <c r="C6" s="139" t="s">
        <v>617</v>
      </c>
      <c r="D6" s="116" t="s">
        <v>549</v>
      </c>
      <c r="E6" s="117" t="s">
        <v>384</v>
      </c>
      <c r="F6" s="117" t="s">
        <v>385</v>
      </c>
      <c r="G6" s="117">
        <v>39</v>
      </c>
      <c r="H6" s="116">
        <v>55</v>
      </c>
      <c r="I6" s="131">
        <v>55</v>
      </c>
      <c r="M6" s="116">
        <v>55</v>
      </c>
      <c r="N6" s="131">
        <v>55</v>
      </c>
      <c r="R6" s="104" t="s">
        <v>617</v>
      </c>
      <c r="AG6" s="146">
        <v>18</v>
      </c>
      <c r="AH6" s="146">
        <v>18</v>
      </c>
      <c r="AI6" s="146"/>
      <c r="AJ6" s="146"/>
      <c r="AK6" s="146"/>
      <c r="AL6" s="146"/>
      <c r="AM6" s="146"/>
      <c r="AN6" s="146"/>
      <c r="AO6" s="146"/>
      <c r="AP6" s="146"/>
      <c r="AQ6" s="146"/>
      <c r="AR6" s="146"/>
      <c r="AS6" s="146"/>
      <c r="AT6" s="146"/>
      <c r="AU6" s="146"/>
      <c r="AV6" s="146"/>
      <c r="AW6" s="146"/>
      <c r="AX6" s="146"/>
      <c r="AY6" s="146"/>
      <c r="AZ6" s="146"/>
      <c r="BA6" s="146"/>
      <c r="BB6" s="146"/>
      <c r="FA6" s="105"/>
      <c r="JD6" s="117" t="s">
        <v>385</v>
      </c>
      <c r="JE6" s="117">
        <v>39</v>
      </c>
      <c r="JF6" s="117">
        <v>39</v>
      </c>
      <c r="JG6" s="131">
        <v>39</v>
      </c>
      <c r="JV6" s="146">
        <v>12</v>
      </c>
      <c r="JW6" s="146">
        <v>12</v>
      </c>
      <c r="JX6" s="146"/>
      <c r="JY6" s="146"/>
      <c r="JZ6" s="146"/>
      <c r="KA6" s="146"/>
      <c r="KB6" s="146"/>
      <c r="KC6" s="146"/>
      <c r="KD6" s="146"/>
      <c r="KE6" s="146"/>
      <c r="KF6" s="146"/>
      <c r="KG6" s="146"/>
      <c r="KH6" s="146"/>
      <c r="KI6" s="146"/>
      <c r="KJ6" s="146"/>
      <c r="KK6" s="146"/>
      <c r="KL6" s="146"/>
      <c r="KM6" s="146"/>
      <c r="KN6" s="146"/>
      <c r="KO6" s="146"/>
      <c r="KP6" s="146"/>
      <c r="KQ6" s="146"/>
      <c r="OP6" s="114"/>
    </row>
    <row r="7" spans="1:511" ht="28.5" customHeight="1">
      <c r="A7" s="129">
        <v>19</v>
      </c>
      <c r="B7" s="121" t="s">
        <v>650</v>
      </c>
      <c r="C7" s="139" t="s">
        <v>663</v>
      </c>
      <c r="D7" s="116" t="s">
        <v>549</v>
      </c>
      <c r="E7" s="117" t="s">
        <v>384</v>
      </c>
      <c r="F7" s="117" t="s">
        <v>385</v>
      </c>
      <c r="G7" s="117">
        <v>89</v>
      </c>
      <c r="H7" s="116">
        <v>143</v>
      </c>
      <c r="I7" s="131">
        <v>143</v>
      </c>
      <c r="K7" s="131">
        <v>69</v>
      </c>
      <c r="L7" s="131">
        <v>74</v>
      </c>
      <c r="M7" s="116">
        <v>139</v>
      </c>
      <c r="N7" s="131">
        <v>139</v>
      </c>
      <c r="R7" s="104" t="s">
        <v>663</v>
      </c>
      <c r="AG7" s="146">
        <v>26</v>
      </c>
      <c r="AH7" s="146"/>
      <c r="AI7" s="146"/>
      <c r="AJ7" s="146"/>
      <c r="AK7" s="146"/>
      <c r="AL7" s="146"/>
      <c r="AM7" s="146"/>
      <c r="AN7" s="146"/>
      <c r="AO7" s="146"/>
      <c r="AP7" s="146"/>
      <c r="AQ7" s="146"/>
      <c r="AR7" s="146"/>
      <c r="AS7" s="146"/>
      <c r="AT7" s="146"/>
      <c r="AU7" s="146"/>
      <c r="AV7" s="146"/>
      <c r="AW7" s="146"/>
      <c r="AX7" s="146"/>
      <c r="AY7" s="146"/>
      <c r="AZ7" s="146"/>
      <c r="BA7" s="146"/>
      <c r="BB7" s="146"/>
      <c r="DB7" s="139">
        <v>16</v>
      </c>
      <c r="FA7" s="105" t="s">
        <v>663</v>
      </c>
      <c r="FB7" s="139" t="s">
        <v>549</v>
      </c>
      <c r="FC7" s="139" t="s">
        <v>384</v>
      </c>
      <c r="FD7" s="139" t="s">
        <v>651</v>
      </c>
      <c r="FE7" s="139">
        <v>4</v>
      </c>
      <c r="FF7" s="139">
        <v>4</v>
      </c>
      <c r="HT7" s="117">
        <v>1</v>
      </c>
      <c r="JD7" s="117" t="s">
        <v>385</v>
      </c>
      <c r="JE7" s="117">
        <v>89</v>
      </c>
      <c r="JF7" s="117">
        <v>89</v>
      </c>
      <c r="JG7" s="131">
        <v>89</v>
      </c>
      <c r="JV7" s="146">
        <v>9</v>
      </c>
      <c r="JW7" s="146"/>
      <c r="JX7" s="146"/>
      <c r="JY7" s="146"/>
      <c r="JZ7" s="146"/>
      <c r="KA7" s="146"/>
      <c r="KB7" s="146"/>
      <c r="KC7" s="146"/>
      <c r="KD7" s="146"/>
      <c r="KE7" s="146"/>
      <c r="KF7" s="146"/>
      <c r="KG7" s="146"/>
      <c r="KH7" s="146"/>
      <c r="KI7" s="146"/>
      <c r="KJ7" s="146"/>
      <c r="KK7" s="146"/>
      <c r="KL7" s="146"/>
      <c r="KM7" s="146"/>
      <c r="KN7" s="146"/>
      <c r="KO7" s="146"/>
      <c r="KP7" s="146"/>
      <c r="KQ7" s="146"/>
      <c r="MQ7" s="139">
        <v>13</v>
      </c>
      <c r="OP7" s="114"/>
    </row>
    <row r="8" spans="1:511" ht="28.5" customHeight="1">
      <c r="A8" s="129">
        <v>23</v>
      </c>
      <c r="B8" s="117" t="s">
        <v>664</v>
      </c>
      <c r="C8" s="110" t="s">
        <v>617</v>
      </c>
      <c r="D8" s="131" t="s">
        <v>549</v>
      </c>
      <c r="E8" s="122" t="s">
        <v>384</v>
      </c>
      <c r="F8" s="122" t="s">
        <v>385</v>
      </c>
      <c r="G8" s="122">
        <v>19</v>
      </c>
      <c r="H8" s="131">
        <v>50</v>
      </c>
      <c r="I8" s="131">
        <v>50</v>
      </c>
      <c r="M8" s="131">
        <v>50</v>
      </c>
      <c r="N8" s="131">
        <v>50</v>
      </c>
      <c r="R8" s="65" t="s">
        <v>617</v>
      </c>
      <c r="AG8" s="146">
        <v>12</v>
      </c>
      <c r="AH8" s="146"/>
      <c r="AI8" s="146"/>
      <c r="AJ8" s="146"/>
      <c r="AK8" s="146"/>
      <c r="AL8" s="146"/>
      <c r="AM8" s="146"/>
      <c r="AN8" s="146"/>
      <c r="AO8" s="146"/>
      <c r="AP8" s="146"/>
      <c r="AQ8" s="146"/>
      <c r="AR8" s="146"/>
      <c r="AS8" s="146"/>
      <c r="AT8" s="146"/>
      <c r="AU8" s="146"/>
      <c r="AV8" s="146"/>
      <c r="AW8" s="146"/>
      <c r="AX8" s="146"/>
      <c r="AY8" s="146"/>
      <c r="AZ8" s="146"/>
      <c r="BA8" s="146"/>
      <c r="BB8" s="146"/>
      <c r="JD8" s="122" t="s">
        <v>385</v>
      </c>
      <c r="JE8" s="122">
        <v>19</v>
      </c>
      <c r="JF8" s="117">
        <v>19</v>
      </c>
      <c r="JG8" s="131">
        <v>19</v>
      </c>
      <c r="JV8" s="146">
        <v>3</v>
      </c>
      <c r="JW8" s="146"/>
      <c r="JX8" s="146"/>
      <c r="JY8" s="146"/>
      <c r="JZ8" s="146"/>
      <c r="KA8" s="146"/>
      <c r="KB8" s="146"/>
      <c r="KC8" s="146"/>
      <c r="KD8" s="146"/>
      <c r="KE8" s="146"/>
      <c r="KF8" s="146"/>
      <c r="KG8" s="146"/>
      <c r="KH8" s="146"/>
      <c r="KI8" s="146"/>
      <c r="KJ8" s="146"/>
      <c r="KK8" s="146"/>
      <c r="KL8" s="146"/>
      <c r="KM8" s="146"/>
      <c r="KN8" s="146"/>
      <c r="KO8" s="146"/>
      <c r="KP8" s="146"/>
      <c r="KQ8" s="146"/>
    </row>
    <row r="9" spans="1:511" s="122" customFormat="1" ht="28.5" customHeight="1">
      <c r="A9" s="129">
        <v>30</v>
      </c>
      <c r="B9" s="121" t="s">
        <v>666</v>
      </c>
      <c r="C9" s="110" t="s">
        <v>639</v>
      </c>
      <c r="D9" s="131" t="s">
        <v>549</v>
      </c>
      <c r="E9" s="122" t="s">
        <v>385</v>
      </c>
      <c r="F9" s="122" t="s">
        <v>385</v>
      </c>
      <c r="G9" s="122">
        <v>31</v>
      </c>
      <c r="H9" s="131">
        <v>77</v>
      </c>
      <c r="I9" s="131">
        <v>58</v>
      </c>
      <c r="J9" s="131" t="s">
        <v>728</v>
      </c>
      <c r="K9" s="131">
        <v>25</v>
      </c>
      <c r="L9" s="131">
        <v>33</v>
      </c>
      <c r="M9" s="131">
        <v>40</v>
      </c>
      <c r="N9" s="131">
        <v>58</v>
      </c>
      <c r="O9" s="131"/>
      <c r="P9" s="131"/>
      <c r="Q9" s="133"/>
      <c r="R9" s="66" t="s">
        <v>739</v>
      </c>
      <c r="AG9" s="146">
        <v>10</v>
      </c>
      <c r="AH9" s="146">
        <v>10</v>
      </c>
      <c r="AI9" s="146"/>
      <c r="AJ9" s="146"/>
      <c r="AK9" s="146"/>
      <c r="AL9" s="146"/>
      <c r="AM9" s="146"/>
      <c r="AN9" s="146"/>
      <c r="AO9" s="146"/>
      <c r="AP9" s="146">
        <v>5</v>
      </c>
      <c r="AQ9" s="146"/>
      <c r="AR9" s="146"/>
      <c r="AS9" s="146"/>
      <c r="AT9" s="146"/>
      <c r="AU9" s="146"/>
      <c r="AV9" s="146"/>
      <c r="AW9" s="146"/>
      <c r="AX9" s="146"/>
      <c r="AY9" s="146"/>
      <c r="AZ9" s="146"/>
      <c r="BA9" s="146"/>
      <c r="BB9" s="146"/>
      <c r="BF9" s="122">
        <v>4</v>
      </c>
      <c r="CG9" s="122">
        <v>2</v>
      </c>
      <c r="CI9" s="122">
        <v>1</v>
      </c>
      <c r="CW9" s="122">
        <v>2</v>
      </c>
      <c r="DB9" s="122">
        <v>1</v>
      </c>
      <c r="DD9" s="122">
        <v>1</v>
      </c>
      <c r="FA9" s="66" t="s">
        <v>639</v>
      </c>
      <c r="FB9" s="122" t="s">
        <v>549</v>
      </c>
      <c r="FC9" s="122" t="s">
        <v>385</v>
      </c>
      <c r="FD9" s="122" t="s">
        <v>646</v>
      </c>
      <c r="FE9" s="122">
        <v>35</v>
      </c>
      <c r="FF9" s="122">
        <v>58</v>
      </c>
      <c r="FQ9" s="122">
        <v>13</v>
      </c>
      <c r="FR9" s="122">
        <v>11</v>
      </c>
      <c r="FW9" s="122">
        <v>3</v>
      </c>
      <c r="GH9" s="122">
        <v>2</v>
      </c>
      <c r="GK9" s="122">
        <v>1</v>
      </c>
      <c r="HT9" s="122">
        <v>2</v>
      </c>
      <c r="HZ9" s="122">
        <v>1</v>
      </c>
      <c r="JD9" s="122" t="s">
        <v>385</v>
      </c>
      <c r="JE9" s="122">
        <v>31</v>
      </c>
      <c r="JF9" s="122">
        <v>21</v>
      </c>
      <c r="JG9" s="131">
        <v>21</v>
      </c>
      <c r="JV9" s="146">
        <v>3</v>
      </c>
      <c r="JW9" s="146">
        <v>3</v>
      </c>
      <c r="JX9" s="146"/>
      <c r="JY9" s="146"/>
      <c r="JZ9" s="146"/>
      <c r="KA9" s="146"/>
      <c r="KB9" s="146"/>
      <c r="KC9" s="146"/>
      <c r="KD9" s="146"/>
      <c r="KE9" s="146">
        <v>2</v>
      </c>
      <c r="KF9" s="146"/>
      <c r="KG9" s="146"/>
      <c r="KH9" s="146"/>
      <c r="KI9" s="146"/>
      <c r="KJ9" s="146"/>
      <c r="KK9" s="146"/>
      <c r="KL9" s="146"/>
      <c r="KM9" s="146"/>
      <c r="KN9" s="146"/>
      <c r="KO9" s="146"/>
      <c r="KP9" s="146"/>
      <c r="KQ9" s="146"/>
      <c r="LV9" s="122">
        <v>2</v>
      </c>
      <c r="LX9" s="122">
        <v>1</v>
      </c>
      <c r="ML9" s="122">
        <v>1</v>
      </c>
      <c r="OP9" s="147" t="s">
        <v>639</v>
      </c>
      <c r="OQ9" s="122" t="s">
        <v>549</v>
      </c>
      <c r="OR9" s="122" t="s">
        <v>385</v>
      </c>
      <c r="OS9" s="122" t="s">
        <v>631</v>
      </c>
      <c r="OT9" s="122">
        <v>10</v>
      </c>
      <c r="OU9" s="122">
        <v>10</v>
      </c>
      <c r="PF9" s="122">
        <v>2</v>
      </c>
      <c r="PG9" s="122">
        <v>1</v>
      </c>
      <c r="RI9" s="122">
        <v>1</v>
      </c>
      <c r="RK9" s="122">
        <v>1</v>
      </c>
    </row>
    <row r="10" spans="1:511" s="122" customFormat="1" ht="28.5" customHeight="1">
      <c r="A10" s="129">
        <v>36</v>
      </c>
      <c r="B10" s="121" t="s">
        <v>668</v>
      </c>
      <c r="C10" s="110" t="s">
        <v>617</v>
      </c>
      <c r="D10" s="131" t="s">
        <v>549</v>
      </c>
      <c r="E10" s="122" t="s">
        <v>384</v>
      </c>
      <c r="F10" s="122" t="s">
        <v>385</v>
      </c>
      <c r="G10" s="122">
        <v>89</v>
      </c>
      <c r="H10" s="131">
        <v>119</v>
      </c>
      <c r="I10" s="131">
        <v>119</v>
      </c>
      <c r="J10" s="131">
        <v>62.1</v>
      </c>
      <c r="K10" s="131">
        <v>66</v>
      </c>
      <c r="L10" s="131">
        <v>53</v>
      </c>
      <c r="M10" s="131">
        <v>119</v>
      </c>
      <c r="N10" s="131">
        <v>119</v>
      </c>
      <c r="O10" s="131"/>
      <c r="P10" s="131"/>
      <c r="Q10" s="131"/>
      <c r="R10" s="65" t="s">
        <v>617</v>
      </c>
      <c r="AG10" s="122">
        <v>17</v>
      </c>
      <c r="AH10" s="122">
        <v>15</v>
      </c>
      <c r="DB10" s="122">
        <v>12</v>
      </c>
      <c r="DD10" s="122">
        <v>1</v>
      </c>
      <c r="DE10" s="122">
        <v>7</v>
      </c>
      <c r="FA10" s="66"/>
      <c r="GV10" s="142"/>
      <c r="JD10" s="122" t="s">
        <v>385</v>
      </c>
      <c r="JE10" s="122">
        <v>89</v>
      </c>
      <c r="JF10" s="122">
        <v>89</v>
      </c>
      <c r="JG10" s="131">
        <v>89</v>
      </c>
      <c r="JV10" s="122">
        <v>6</v>
      </c>
      <c r="JW10" s="122">
        <v>6</v>
      </c>
      <c r="MQ10" s="122">
        <v>10</v>
      </c>
      <c r="MS10" s="122">
        <v>1</v>
      </c>
      <c r="MT10" s="122">
        <v>6</v>
      </c>
      <c r="QK10" s="142"/>
    </row>
    <row r="11" spans="1:511" s="122" customFormat="1" ht="28.5" customHeight="1">
      <c r="A11" s="135">
        <v>43</v>
      </c>
      <c r="B11" s="119" t="s">
        <v>669</v>
      </c>
      <c r="C11" s="112" t="s">
        <v>617</v>
      </c>
      <c r="D11" s="122" t="s">
        <v>549</v>
      </c>
      <c r="E11" s="122" t="s">
        <v>384</v>
      </c>
      <c r="F11" s="122" t="s">
        <v>385</v>
      </c>
      <c r="G11" s="122">
        <v>32</v>
      </c>
      <c r="H11" s="131">
        <v>79</v>
      </c>
      <c r="I11" s="131">
        <v>79</v>
      </c>
      <c r="J11" s="131"/>
      <c r="K11" s="131">
        <v>42</v>
      </c>
      <c r="L11" s="131">
        <v>37</v>
      </c>
      <c r="M11" s="131">
        <v>79</v>
      </c>
      <c r="N11" s="131">
        <v>79</v>
      </c>
      <c r="O11" s="131"/>
      <c r="P11" s="131"/>
      <c r="Q11" s="131"/>
      <c r="R11" s="65" t="s">
        <v>617</v>
      </c>
      <c r="AG11" s="122">
        <v>33</v>
      </c>
      <c r="FA11" s="66"/>
      <c r="JD11" s="122" t="s">
        <v>385</v>
      </c>
      <c r="JE11" s="122">
        <v>32</v>
      </c>
      <c r="JF11" s="122">
        <v>32</v>
      </c>
      <c r="JG11" s="131">
        <v>32</v>
      </c>
      <c r="JV11" s="122">
        <v>6</v>
      </c>
    </row>
    <row r="12" spans="1:511" s="122" customFormat="1" ht="28.5" customHeight="1">
      <c r="A12" s="129">
        <v>50</v>
      </c>
      <c r="B12" s="117" t="s">
        <v>670</v>
      </c>
      <c r="C12" s="110" t="s">
        <v>617</v>
      </c>
      <c r="D12" s="131" t="s">
        <v>549</v>
      </c>
      <c r="E12" s="122" t="s">
        <v>385</v>
      </c>
      <c r="F12" s="122" t="s">
        <v>385</v>
      </c>
      <c r="G12" s="122">
        <v>63</v>
      </c>
      <c r="H12" s="131">
        <v>132</v>
      </c>
      <c r="I12" s="131">
        <v>105</v>
      </c>
      <c r="J12" s="131"/>
      <c r="K12" s="131"/>
      <c r="L12" s="131"/>
      <c r="M12" s="131">
        <v>84</v>
      </c>
      <c r="N12" s="131">
        <v>84</v>
      </c>
      <c r="O12" s="131"/>
      <c r="P12" s="131"/>
      <c r="Q12" s="131"/>
      <c r="R12" s="66" t="s">
        <v>617</v>
      </c>
      <c r="DB12" s="122">
        <v>7</v>
      </c>
      <c r="DC12" s="122">
        <v>3</v>
      </c>
      <c r="DD12" s="122">
        <v>3</v>
      </c>
      <c r="FA12" s="66" t="s">
        <v>617</v>
      </c>
      <c r="FB12" s="122" t="s">
        <v>626</v>
      </c>
      <c r="FC12" s="122" t="s">
        <v>385</v>
      </c>
      <c r="FD12" s="122" t="s">
        <v>631</v>
      </c>
      <c r="FE12" s="122">
        <v>48</v>
      </c>
      <c r="FF12" s="122">
        <v>48</v>
      </c>
      <c r="HT12" s="122">
        <v>3</v>
      </c>
      <c r="HV12" s="122">
        <v>2</v>
      </c>
      <c r="JD12" s="122" t="s">
        <v>385</v>
      </c>
      <c r="JE12" s="122">
        <v>63</v>
      </c>
      <c r="JF12" s="122" t="s">
        <v>130</v>
      </c>
      <c r="JG12" s="131">
        <v>43</v>
      </c>
      <c r="MQ12" s="122">
        <v>4</v>
      </c>
      <c r="OP12" s="122" t="s">
        <v>617</v>
      </c>
      <c r="OQ12" s="122" t="s">
        <v>549</v>
      </c>
      <c r="OR12" s="122" t="s">
        <v>385</v>
      </c>
      <c r="OS12" s="122" t="s">
        <v>631</v>
      </c>
      <c r="OT12" s="122">
        <v>20</v>
      </c>
      <c r="OU12" s="122" t="s">
        <v>130</v>
      </c>
      <c r="RI12" s="122">
        <v>3</v>
      </c>
    </row>
    <row r="13" spans="1:511" ht="28.5" customHeight="1">
      <c r="A13" s="129">
        <v>60</v>
      </c>
      <c r="B13" s="117" t="s">
        <v>671</v>
      </c>
      <c r="C13" s="113" t="s">
        <v>617</v>
      </c>
      <c r="D13" s="116" t="s">
        <v>549</v>
      </c>
      <c r="E13" s="117" t="s">
        <v>384</v>
      </c>
      <c r="F13" s="117" t="s">
        <v>385</v>
      </c>
      <c r="G13" s="117">
        <v>148</v>
      </c>
      <c r="H13" s="116">
        <v>312</v>
      </c>
      <c r="I13" s="131">
        <v>312</v>
      </c>
      <c r="M13" s="131">
        <v>268</v>
      </c>
      <c r="N13" s="131">
        <v>268</v>
      </c>
      <c r="R13" s="65" t="s">
        <v>617</v>
      </c>
      <c r="AG13" s="139">
        <v>83</v>
      </c>
      <c r="AH13" s="139">
        <v>76</v>
      </c>
      <c r="AS13" s="139">
        <v>2</v>
      </c>
      <c r="DB13" s="139">
        <v>16</v>
      </c>
      <c r="DC13" s="139">
        <v>1</v>
      </c>
      <c r="DD13" s="139">
        <v>9</v>
      </c>
      <c r="DE13" s="139">
        <v>2</v>
      </c>
      <c r="FA13" s="67" t="s">
        <v>617</v>
      </c>
      <c r="FB13" s="139" t="s">
        <v>549</v>
      </c>
      <c r="FC13" s="139" t="s">
        <v>384</v>
      </c>
      <c r="FD13" s="139" t="s">
        <v>631</v>
      </c>
      <c r="FE13" s="139">
        <v>44</v>
      </c>
      <c r="FF13" s="139">
        <v>44</v>
      </c>
      <c r="FQ13" s="139">
        <v>14</v>
      </c>
      <c r="FR13" s="139">
        <v>12</v>
      </c>
      <c r="HT13" s="117">
        <v>4</v>
      </c>
      <c r="HV13" s="117">
        <v>1</v>
      </c>
      <c r="HW13" s="117">
        <v>2</v>
      </c>
      <c r="JD13" s="117" t="s">
        <v>385</v>
      </c>
      <c r="JE13" s="117">
        <v>148</v>
      </c>
      <c r="JF13" s="117">
        <v>148</v>
      </c>
      <c r="JG13" s="131">
        <v>148</v>
      </c>
      <c r="JV13" s="139">
        <v>23</v>
      </c>
      <c r="JW13" s="139">
        <v>18</v>
      </c>
      <c r="MQ13" s="139">
        <v>13</v>
      </c>
      <c r="MR13" s="139">
        <v>1</v>
      </c>
    </row>
    <row r="14" spans="1:511" ht="28.5" customHeight="1">
      <c r="A14" s="129">
        <v>62</v>
      </c>
      <c r="B14" s="121" t="s">
        <v>672</v>
      </c>
      <c r="C14" s="113" t="s">
        <v>629</v>
      </c>
      <c r="D14" s="116" t="s">
        <v>549</v>
      </c>
      <c r="E14" s="117" t="s">
        <v>384</v>
      </c>
      <c r="F14" s="117" t="s">
        <v>385</v>
      </c>
      <c r="G14" s="117">
        <v>193</v>
      </c>
      <c r="H14" s="116">
        <v>335</v>
      </c>
      <c r="I14" s="131">
        <v>335</v>
      </c>
      <c r="K14" s="131">
        <v>169</v>
      </c>
      <c r="L14" s="131">
        <v>166</v>
      </c>
      <c r="M14" s="131">
        <v>284</v>
      </c>
      <c r="N14" s="131">
        <v>284</v>
      </c>
      <c r="R14" s="65" t="s">
        <v>617</v>
      </c>
      <c r="CG14" s="139">
        <v>34</v>
      </c>
      <c r="FA14" s="67" t="s">
        <v>617</v>
      </c>
      <c r="FB14" s="139" t="s">
        <v>549</v>
      </c>
      <c r="FC14" s="139" t="s">
        <v>384</v>
      </c>
      <c r="FD14" s="139" t="s">
        <v>630</v>
      </c>
      <c r="FE14" s="139">
        <v>51</v>
      </c>
      <c r="FF14" s="139">
        <v>51</v>
      </c>
      <c r="HB14" s="117">
        <v>4</v>
      </c>
      <c r="JD14" s="117" t="s">
        <v>385</v>
      </c>
      <c r="JE14" s="117">
        <v>193</v>
      </c>
      <c r="JF14" s="117">
        <v>193</v>
      </c>
      <c r="JG14" s="131">
        <v>193</v>
      </c>
      <c r="LV14" s="139">
        <v>23</v>
      </c>
    </row>
    <row r="15" spans="1:511" s="122" customFormat="1" ht="28.5" customHeight="1">
      <c r="A15" s="135">
        <v>93</v>
      </c>
      <c r="B15" s="117" t="s">
        <v>684</v>
      </c>
      <c r="C15" s="66" t="s">
        <v>685</v>
      </c>
      <c r="D15" s="131" t="s">
        <v>549</v>
      </c>
      <c r="E15" s="122" t="s">
        <v>384</v>
      </c>
      <c r="F15" s="122" t="s">
        <v>384</v>
      </c>
      <c r="H15" s="131">
        <v>51</v>
      </c>
      <c r="I15" s="131">
        <v>51</v>
      </c>
      <c r="J15" s="131"/>
      <c r="K15" s="131">
        <v>17</v>
      </c>
      <c r="L15" s="131">
        <v>34</v>
      </c>
      <c r="M15" s="131">
        <v>51</v>
      </c>
      <c r="N15" s="131">
        <v>51</v>
      </c>
      <c r="O15" s="131"/>
      <c r="P15" s="131"/>
      <c r="Q15" s="131"/>
      <c r="R15" s="66" t="s">
        <v>685</v>
      </c>
      <c r="S15" s="135"/>
      <c r="T15" s="135"/>
      <c r="U15" s="135"/>
      <c r="V15" s="135"/>
      <c r="W15" s="135"/>
      <c r="X15" s="135"/>
      <c r="Y15" s="135"/>
      <c r="DB15" s="122">
        <v>10</v>
      </c>
      <c r="FA15" s="66"/>
      <c r="FG15" s="135"/>
      <c r="FH15" s="135"/>
      <c r="FI15" s="135"/>
      <c r="JD15" s="122" t="s">
        <v>384</v>
      </c>
      <c r="JG15" s="131"/>
      <c r="JH15" s="135"/>
      <c r="JI15" s="135"/>
      <c r="JJ15" s="135"/>
      <c r="JK15" s="135"/>
      <c r="JL15" s="135"/>
      <c r="JM15" s="135"/>
      <c r="JN15" s="135"/>
      <c r="OV15" s="135"/>
      <c r="OW15" s="135"/>
      <c r="OX15" s="135"/>
    </row>
    <row r="16" spans="1:511" s="122" customFormat="1" ht="28.5" customHeight="1">
      <c r="A16" s="135">
        <v>99</v>
      </c>
      <c r="B16" s="123" t="s">
        <v>733</v>
      </c>
      <c r="C16" s="66" t="s">
        <v>673</v>
      </c>
      <c r="D16" s="131" t="s">
        <v>549</v>
      </c>
      <c r="E16" s="122" t="s">
        <v>385</v>
      </c>
      <c r="F16" s="122" t="s">
        <v>385</v>
      </c>
      <c r="G16" s="122">
        <v>103</v>
      </c>
      <c r="H16" s="131">
        <v>103</v>
      </c>
      <c r="I16" s="131">
        <v>37</v>
      </c>
      <c r="J16" s="131">
        <v>69.099999999999994</v>
      </c>
      <c r="K16" s="131">
        <v>21</v>
      </c>
      <c r="L16" s="131">
        <v>16</v>
      </c>
      <c r="M16" s="131">
        <v>64</v>
      </c>
      <c r="N16" s="131">
        <v>37</v>
      </c>
      <c r="O16" s="131"/>
      <c r="P16" s="131"/>
      <c r="Q16" s="131"/>
      <c r="R16" s="65" t="s">
        <v>673</v>
      </c>
      <c r="T16" s="122">
        <v>1</v>
      </c>
      <c r="U16" s="122">
        <v>1</v>
      </c>
      <c r="X16" s="122">
        <v>8</v>
      </c>
      <c r="Z16" s="122">
        <v>4</v>
      </c>
      <c r="AA16" s="122">
        <v>2</v>
      </c>
      <c r="AF16" s="122">
        <v>1</v>
      </c>
      <c r="AG16" s="122">
        <v>8</v>
      </c>
      <c r="AL16" s="122">
        <v>1</v>
      </c>
      <c r="AS16" s="122">
        <v>2</v>
      </c>
      <c r="AU16" s="122">
        <v>1</v>
      </c>
      <c r="BE16" s="122">
        <v>1</v>
      </c>
      <c r="BN16" s="122">
        <v>2</v>
      </c>
      <c r="BX16" s="122">
        <v>1</v>
      </c>
      <c r="CG16" s="122">
        <v>8</v>
      </c>
      <c r="CO16" s="122">
        <v>2</v>
      </c>
      <c r="CX16" s="122">
        <v>4</v>
      </c>
      <c r="CY16" s="122">
        <v>1</v>
      </c>
      <c r="CZ16" s="122">
        <v>2</v>
      </c>
      <c r="DB16" s="122">
        <v>10</v>
      </c>
      <c r="DF16" s="122">
        <v>2</v>
      </c>
      <c r="DK16" s="122">
        <v>2</v>
      </c>
      <c r="EG16" s="122">
        <v>5</v>
      </c>
      <c r="EI16" s="122">
        <v>10</v>
      </c>
      <c r="EP16" s="122">
        <v>1</v>
      </c>
      <c r="FA16" s="66" t="s">
        <v>673</v>
      </c>
      <c r="FB16" s="122" t="s">
        <v>734</v>
      </c>
      <c r="FC16" s="122" t="s">
        <v>385</v>
      </c>
      <c r="FD16" s="122" t="s">
        <v>735</v>
      </c>
      <c r="FE16" s="122">
        <v>39</v>
      </c>
      <c r="FF16" s="122">
        <v>37</v>
      </c>
      <c r="FG16" s="122">
        <v>2</v>
      </c>
      <c r="FI16" s="122">
        <v>2</v>
      </c>
      <c r="FK16" s="122">
        <v>4</v>
      </c>
      <c r="FQ16" s="122">
        <v>7</v>
      </c>
      <c r="FT16" s="122">
        <v>1</v>
      </c>
      <c r="GA16" s="122">
        <v>1</v>
      </c>
      <c r="GC16" s="122">
        <v>2</v>
      </c>
      <c r="GI16" s="122">
        <v>2</v>
      </c>
      <c r="GR16" s="122">
        <v>3</v>
      </c>
      <c r="HB16" s="122">
        <v>9</v>
      </c>
      <c r="HR16" s="122">
        <v>6</v>
      </c>
      <c r="HT16" s="122">
        <v>7</v>
      </c>
      <c r="IC16" s="122">
        <v>1</v>
      </c>
      <c r="IT16" s="122">
        <v>3</v>
      </c>
      <c r="IY16" s="122">
        <v>7</v>
      </c>
      <c r="JD16" s="122" t="s">
        <v>385</v>
      </c>
      <c r="JE16" s="122">
        <v>103</v>
      </c>
      <c r="JF16" s="122">
        <v>37</v>
      </c>
      <c r="JG16" s="131">
        <v>64</v>
      </c>
      <c r="JI16" s="122">
        <v>1</v>
      </c>
      <c r="JJ16" s="122">
        <v>1</v>
      </c>
      <c r="JM16" s="122">
        <v>8</v>
      </c>
      <c r="JO16" s="122">
        <v>4</v>
      </c>
      <c r="JP16" s="122">
        <v>2</v>
      </c>
      <c r="JU16" s="122">
        <v>1</v>
      </c>
      <c r="JV16" s="122">
        <v>8</v>
      </c>
      <c r="KA16" s="122">
        <v>1</v>
      </c>
      <c r="KH16" s="122">
        <v>2</v>
      </c>
      <c r="KJ16" s="122">
        <v>1</v>
      </c>
      <c r="KT16" s="122">
        <v>1</v>
      </c>
      <c r="LC16" s="122">
        <v>2</v>
      </c>
      <c r="LM16" s="122">
        <v>1</v>
      </c>
      <c r="LV16" s="122">
        <v>8</v>
      </c>
      <c r="MD16" s="122">
        <v>2</v>
      </c>
      <c r="MM16" s="122">
        <v>4</v>
      </c>
      <c r="MN16" s="122">
        <v>1</v>
      </c>
      <c r="MO16" s="122">
        <v>2</v>
      </c>
      <c r="MQ16" s="122">
        <v>10</v>
      </c>
      <c r="MU16" s="122">
        <v>2</v>
      </c>
      <c r="MZ16" s="122">
        <v>2</v>
      </c>
      <c r="NV16" s="122">
        <v>5</v>
      </c>
      <c r="NX16" s="122">
        <v>10</v>
      </c>
      <c r="OE16" s="122">
        <v>1</v>
      </c>
      <c r="OP16" s="122" t="s">
        <v>673</v>
      </c>
      <c r="OQ16" s="122" t="s">
        <v>734</v>
      </c>
      <c r="OR16" s="122" t="s">
        <v>385</v>
      </c>
      <c r="OS16" s="122" t="s">
        <v>735</v>
      </c>
      <c r="OT16" s="122">
        <v>39</v>
      </c>
      <c r="OU16" s="122">
        <v>37</v>
      </c>
      <c r="OV16" s="122">
        <v>2</v>
      </c>
      <c r="OX16" s="122">
        <v>2</v>
      </c>
      <c r="OZ16" s="122">
        <v>4</v>
      </c>
      <c r="PF16" s="122">
        <v>7</v>
      </c>
      <c r="PI16" s="122">
        <v>1</v>
      </c>
      <c r="PP16" s="122">
        <v>1</v>
      </c>
      <c r="PR16" s="122">
        <v>2</v>
      </c>
      <c r="PX16" s="122">
        <v>2</v>
      </c>
      <c r="QG16" s="122">
        <v>3</v>
      </c>
      <c r="QQ16" s="122">
        <v>9</v>
      </c>
      <c r="RG16" s="122">
        <v>6</v>
      </c>
      <c r="RI16" s="122">
        <v>7</v>
      </c>
      <c r="RR16" s="122">
        <v>1</v>
      </c>
      <c r="SI16" s="122">
        <v>3</v>
      </c>
      <c r="SN16" s="122">
        <v>7</v>
      </c>
    </row>
    <row r="17" spans="1:267" ht="28.5" customHeight="1">
      <c r="A17" s="135"/>
      <c r="B17" s="121"/>
      <c r="C17" s="67"/>
      <c r="JE17" s="146"/>
      <c r="JF17" s="146"/>
      <c r="JG17" s="146"/>
    </row>
    <row r="18" spans="1:267" s="122" customFormat="1" ht="28.5" customHeight="1">
      <c r="A18" s="135"/>
      <c r="B18" s="117"/>
      <c r="C18" s="66"/>
      <c r="D18" s="131"/>
      <c r="H18" s="131"/>
      <c r="I18" s="131"/>
      <c r="J18" s="131"/>
      <c r="K18" s="131"/>
      <c r="L18" s="131"/>
      <c r="M18" s="131"/>
      <c r="N18" s="131"/>
      <c r="O18" s="131"/>
      <c r="P18" s="131"/>
      <c r="Q18" s="131"/>
      <c r="R18" s="65"/>
      <c r="FA18" s="66"/>
      <c r="JG18" s="131"/>
    </row>
    <row r="19" spans="1:267" s="122" customFormat="1" ht="28.5" customHeight="1">
      <c r="A19" s="135"/>
      <c r="B19" s="117"/>
      <c r="C19" s="66"/>
      <c r="D19" s="131"/>
      <c r="H19" s="131"/>
      <c r="I19" s="131"/>
      <c r="J19" s="131"/>
      <c r="K19" s="131"/>
      <c r="L19" s="131"/>
      <c r="M19" s="131"/>
      <c r="N19" s="131"/>
      <c r="O19" s="131"/>
      <c r="P19" s="131"/>
      <c r="Q19" s="131"/>
      <c r="R19" s="65"/>
      <c r="FA19" s="66"/>
      <c r="JG19" s="131"/>
    </row>
    <row r="20" spans="1:267" ht="28.5" customHeight="1">
      <c r="A20" s="135"/>
      <c r="C20" s="67"/>
    </row>
    <row r="21" spans="1:267" ht="28.5" customHeight="1">
      <c r="A21" s="135"/>
      <c r="C21" s="67"/>
    </row>
    <row r="22" spans="1:267" ht="28.5" customHeight="1">
      <c r="A22" s="135"/>
      <c r="C22" s="67"/>
    </row>
    <row r="23" spans="1:267" ht="28.5" customHeight="1">
      <c r="A23" s="135"/>
      <c r="C23" s="67"/>
    </row>
    <row r="24" spans="1:267" ht="28.5" customHeight="1">
      <c r="A24" s="135"/>
      <c r="C24" s="67"/>
    </row>
    <row r="25" spans="1:267" s="122" customFormat="1" ht="28.5" customHeight="1">
      <c r="A25" s="135"/>
      <c r="B25" s="117"/>
      <c r="C25" s="88"/>
      <c r="D25" s="149"/>
      <c r="E25" s="150"/>
      <c r="F25" s="150"/>
      <c r="G25" s="150"/>
      <c r="H25" s="131"/>
      <c r="I25" s="131"/>
      <c r="J25" s="131"/>
      <c r="K25" s="131"/>
      <c r="L25" s="131"/>
      <c r="M25" s="131"/>
      <c r="N25" s="131"/>
      <c r="O25" s="131"/>
      <c r="P25" s="131"/>
      <c r="Q25" s="131"/>
      <c r="R25" s="65"/>
      <c r="FA25" s="66"/>
      <c r="JD25" s="150"/>
      <c r="JE25" s="150"/>
      <c r="JG25" s="131"/>
    </row>
    <row r="26" spans="1:267" s="122" customFormat="1" ht="28.5" customHeight="1">
      <c r="A26" s="135"/>
      <c r="B26" s="117"/>
      <c r="C26" s="90"/>
      <c r="D26" s="151"/>
      <c r="E26" s="152"/>
      <c r="F26" s="152"/>
      <c r="G26" s="152"/>
      <c r="H26" s="131"/>
      <c r="I26" s="131"/>
      <c r="J26" s="131"/>
      <c r="K26" s="131"/>
      <c r="L26" s="131"/>
      <c r="M26" s="131"/>
      <c r="N26" s="131"/>
      <c r="O26" s="131"/>
      <c r="P26" s="131"/>
      <c r="Q26" s="131"/>
      <c r="R26" s="65"/>
      <c r="FA26" s="66"/>
      <c r="JD26" s="152"/>
      <c r="JE26" s="152"/>
      <c r="JG26" s="131"/>
    </row>
    <row r="27" spans="1:267" ht="28.5" customHeight="1">
      <c r="A27" s="135"/>
      <c r="C27" s="67"/>
    </row>
    <row r="28" spans="1:267" ht="28.5" customHeight="1">
      <c r="A28" s="135"/>
      <c r="C28" s="67"/>
      <c r="D28" s="153"/>
      <c r="E28" s="154"/>
      <c r="F28" s="154"/>
      <c r="G28" s="154"/>
      <c r="H28" s="153"/>
      <c r="I28" s="137"/>
      <c r="J28" s="137"/>
      <c r="K28" s="137"/>
      <c r="L28" s="137"/>
      <c r="M28" s="137"/>
      <c r="N28" s="137"/>
      <c r="O28" s="137"/>
      <c r="P28" s="137"/>
      <c r="Q28" s="137"/>
      <c r="R28" s="138"/>
      <c r="JD28" s="154"/>
      <c r="JE28" s="154"/>
      <c r="JG28" s="137"/>
    </row>
    <row r="29" spans="1:267" s="122" customFormat="1" ht="28.5" customHeight="1">
      <c r="A29" s="135"/>
      <c r="B29" s="117"/>
      <c r="C29" s="66"/>
      <c r="D29" s="131"/>
      <c r="H29" s="131"/>
      <c r="I29" s="131"/>
      <c r="J29" s="131"/>
      <c r="K29" s="131"/>
      <c r="L29" s="131"/>
      <c r="M29" s="131"/>
      <c r="N29" s="131"/>
      <c r="O29" s="131"/>
      <c r="P29" s="131"/>
      <c r="Q29" s="131"/>
      <c r="R29" s="65"/>
      <c r="FA29" s="66"/>
      <c r="JG29" s="131"/>
    </row>
    <row r="30" spans="1:267" ht="28.5" customHeight="1">
      <c r="A30" s="135"/>
      <c r="C30" s="67"/>
    </row>
    <row r="31" spans="1:267" ht="28.5" customHeight="1">
      <c r="A31" s="135"/>
      <c r="C31" s="67"/>
    </row>
    <row r="32" spans="1:267" ht="28.5" customHeight="1">
      <c r="A32" s="135"/>
      <c r="C32" s="67"/>
    </row>
    <row r="33" spans="1:295" s="122" customFormat="1" ht="28.5" customHeight="1">
      <c r="A33" s="135"/>
      <c r="B33" s="117"/>
      <c r="C33" s="66"/>
      <c r="D33" s="131"/>
      <c r="H33" s="131"/>
      <c r="I33" s="131"/>
      <c r="J33" s="131"/>
      <c r="K33" s="131"/>
      <c r="L33" s="131"/>
      <c r="M33" s="131"/>
      <c r="N33" s="131"/>
      <c r="O33" s="131"/>
      <c r="P33" s="131"/>
      <c r="Q33" s="131"/>
      <c r="R33" s="65"/>
      <c r="FA33" s="66"/>
      <c r="JG33" s="131"/>
    </row>
    <row r="34" spans="1:295" ht="28.5" customHeight="1">
      <c r="A34" s="135"/>
      <c r="C34" s="67"/>
    </row>
    <row r="35" spans="1:295" ht="28.5" customHeight="1">
      <c r="A35" s="135"/>
      <c r="C35" s="67"/>
    </row>
    <row r="36" spans="1:295" ht="28.5" customHeight="1">
      <c r="A36" s="135"/>
      <c r="C36" s="67"/>
    </row>
    <row r="37" spans="1:295" ht="28.5" customHeight="1">
      <c r="A37" s="135"/>
      <c r="C37" s="67"/>
    </row>
    <row r="38" spans="1:295" ht="28.5" customHeight="1">
      <c r="A38" s="135"/>
      <c r="C38" s="67"/>
    </row>
    <row r="39" spans="1:295" ht="28.5" customHeight="1">
      <c r="A39" s="135"/>
      <c r="C39" s="67"/>
    </row>
    <row r="40" spans="1:295" ht="28.5" customHeight="1">
      <c r="A40" s="135"/>
      <c r="C40" s="67"/>
    </row>
    <row r="41" spans="1:295" ht="28.5" customHeight="1">
      <c r="A41" s="135"/>
      <c r="C41" s="67"/>
    </row>
    <row r="42" spans="1:295" s="122" customFormat="1" ht="28.5" customHeight="1">
      <c r="A42" s="135"/>
      <c r="B42" s="117"/>
      <c r="C42" s="66"/>
      <c r="D42" s="131"/>
      <c r="H42" s="131"/>
      <c r="I42" s="131"/>
      <c r="J42" s="131"/>
      <c r="K42" s="131"/>
      <c r="L42" s="131"/>
      <c r="M42" s="131"/>
      <c r="N42" s="131"/>
      <c r="O42" s="131"/>
      <c r="P42" s="131"/>
      <c r="Q42" s="131"/>
      <c r="R42" s="65"/>
      <c r="FA42" s="66"/>
      <c r="JG42" s="131"/>
    </row>
    <row r="43" spans="1:295" ht="28.5" customHeight="1">
      <c r="A43" s="135"/>
      <c r="C43" s="67"/>
    </row>
    <row r="44" spans="1:295" ht="28.5" customHeight="1">
      <c r="A44" s="135"/>
      <c r="C44" s="67"/>
    </row>
    <row r="45" spans="1:295" s="122" customFormat="1" ht="28.5" customHeight="1">
      <c r="A45" s="135"/>
      <c r="B45" s="117"/>
      <c r="C45" s="66"/>
      <c r="D45" s="131"/>
      <c r="H45" s="131"/>
      <c r="I45" s="131"/>
      <c r="J45" s="131"/>
      <c r="K45" s="131"/>
      <c r="L45" s="131"/>
      <c r="M45" s="131"/>
      <c r="N45" s="131"/>
      <c r="O45" s="131"/>
      <c r="P45" s="131"/>
      <c r="Q45" s="131"/>
      <c r="R45" s="65"/>
      <c r="FA45" s="66"/>
      <c r="JG45" s="131"/>
    </row>
    <row r="46" spans="1:295" ht="28.5" customHeight="1">
      <c r="A46" s="135"/>
      <c r="C46" s="67"/>
    </row>
    <row r="47" spans="1:295" s="122" customFormat="1" ht="28.5" customHeight="1">
      <c r="A47" s="135"/>
      <c r="C47" s="66"/>
      <c r="D47" s="131"/>
      <c r="H47" s="131"/>
      <c r="I47" s="131"/>
      <c r="J47" s="131"/>
      <c r="K47" s="131"/>
      <c r="L47" s="131"/>
      <c r="M47" s="131"/>
      <c r="N47" s="131"/>
      <c r="O47" s="131"/>
      <c r="P47" s="131"/>
      <c r="Q47" s="131"/>
      <c r="R47" s="65"/>
      <c r="AL47" s="148"/>
      <c r="FA47" s="66"/>
      <c r="JG47" s="131"/>
      <c r="KA47" s="148"/>
    </row>
    <row r="48" spans="1:295" ht="28.5" customHeight="1">
      <c r="A48" s="135"/>
      <c r="C48" s="66"/>
      <c r="AN48" s="146"/>
      <c r="AO48" s="146"/>
      <c r="AP48" s="146"/>
      <c r="AQ48" s="146"/>
      <c r="AR48" s="146"/>
      <c r="AS48" s="146"/>
      <c r="AT48" s="146"/>
      <c r="KC48" s="146"/>
      <c r="KD48" s="146"/>
      <c r="KE48" s="146"/>
      <c r="KF48" s="146"/>
      <c r="KG48" s="146"/>
      <c r="KH48" s="146"/>
      <c r="KI48" s="146"/>
    </row>
    <row r="49" spans="1:295" ht="28.5" customHeight="1">
      <c r="A49" s="135"/>
      <c r="AN49" s="146"/>
      <c r="AO49" s="146"/>
      <c r="AP49" s="146"/>
      <c r="AQ49" s="146"/>
      <c r="AR49" s="146"/>
      <c r="AS49" s="146"/>
      <c r="AT49" s="146"/>
      <c r="KC49" s="146"/>
      <c r="KD49" s="146"/>
      <c r="KE49" s="146"/>
      <c r="KF49" s="146"/>
      <c r="KG49" s="146"/>
      <c r="KH49" s="146"/>
      <c r="KI49" s="146"/>
    </row>
    <row r="50" spans="1:295" ht="28.5" customHeight="1">
      <c r="C50" s="67"/>
    </row>
    <row r="51" spans="1:295" ht="28.5" customHeight="1">
      <c r="C51" s="67"/>
    </row>
    <row r="52" spans="1:295" ht="28.5" customHeight="1">
      <c r="C52" s="67"/>
    </row>
    <row r="53" spans="1:295" ht="28.5" customHeight="1">
      <c r="C53" s="67"/>
    </row>
    <row r="54" spans="1:295" ht="28.5" customHeight="1">
      <c r="C54" s="67"/>
    </row>
    <row r="55" spans="1:295" ht="28.5" customHeight="1">
      <c r="C55" s="67"/>
    </row>
    <row r="56" spans="1:295" s="122" customFormat="1" ht="28.5" customHeight="1">
      <c r="A56" s="129"/>
      <c r="B56" s="117"/>
      <c r="C56" s="66"/>
      <c r="D56" s="131"/>
      <c r="H56" s="131"/>
      <c r="I56" s="131"/>
      <c r="J56" s="131"/>
      <c r="K56" s="131"/>
      <c r="L56" s="131"/>
      <c r="M56" s="131"/>
      <c r="N56" s="131"/>
      <c r="O56" s="131"/>
      <c r="P56" s="131"/>
      <c r="Q56" s="131"/>
      <c r="R56" s="65"/>
      <c r="FA56" s="66"/>
      <c r="JG56" s="131"/>
    </row>
    <row r="57" spans="1:295" s="122" customFormat="1" ht="28.5" customHeight="1">
      <c r="A57" s="129"/>
      <c r="B57" s="117"/>
      <c r="C57" s="66"/>
      <c r="D57" s="131"/>
      <c r="H57" s="131"/>
      <c r="I57" s="131"/>
      <c r="J57" s="131"/>
      <c r="K57" s="131"/>
      <c r="L57" s="131"/>
      <c r="M57" s="131"/>
      <c r="N57" s="131"/>
      <c r="O57" s="131"/>
      <c r="P57" s="131"/>
      <c r="Q57" s="131"/>
      <c r="R57" s="65"/>
      <c r="FA57" s="66"/>
      <c r="JG57" s="131"/>
    </row>
  </sheetData>
  <mergeCells count="38">
    <mergeCell ref="S1:EZ1"/>
    <mergeCell ref="OQ1:OQ2"/>
    <mergeCell ref="OR1:OR2"/>
    <mergeCell ref="QM1:QT1"/>
    <mergeCell ref="FA1:FA2"/>
    <mergeCell ref="FB1:FB2"/>
    <mergeCell ref="FC1:FC2"/>
    <mergeCell ref="KV1:KW1"/>
    <mergeCell ref="OP1:OP2"/>
    <mergeCell ref="JG1:JG2"/>
    <mergeCell ref="JF1:JF2"/>
    <mergeCell ref="JD1:JD2"/>
    <mergeCell ref="JE1:JE2"/>
    <mergeCell ref="FD1:FD2"/>
    <mergeCell ref="FE1:FE2"/>
    <mergeCell ref="FF1:FF2"/>
    <mergeCell ref="F1:F2"/>
    <mergeCell ref="A1:A2"/>
    <mergeCell ref="B1:B2"/>
    <mergeCell ref="C1:C2"/>
    <mergeCell ref="D1:D2"/>
    <mergeCell ref="E1:E2"/>
    <mergeCell ref="FG1:JC1"/>
    <mergeCell ref="OS1:OS2"/>
    <mergeCell ref="OT1:OT2"/>
    <mergeCell ref="OU1:OU2"/>
    <mergeCell ref="G1:G2"/>
    <mergeCell ref="H1:H2"/>
    <mergeCell ref="I1:I2"/>
    <mergeCell ref="J1:J2"/>
    <mergeCell ref="K1:K2"/>
    <mergeCell ref="L1:L2"/>
    <mergeCell ref="M1:M2"/>
    <mergeCell ref="N1:N2"/>
    <mergeCell ref="O1:O2"/>
    <mergeCell ref="P1:P2"/>
    <mergeCell ref="Q1:Q2"/>
    <mergeCell ref="R1:R2"/>
  </mergeCells>
  <conditionalFormatting sqref="C25">
    <cfRule type="duplicateValues" dxfId="10" priority="1"/>
  </conditionalFormatting>
  <conditionalFormatting sqref="C26">
    <cfRule type="duplicateValues" dxfId="9" priority="2"/>
  </conditionalFormatting>
  <conditionalFormatting sqref="D25:G25">
    <cfRule type="duplicateValues" dxfId="8" priority="9"/>
  </conditionalFormatting>
  <conditionalFormatting sqref="D26:G26">
    <cfRule type="duplicateValues" dxfId="7" priority="10"/>
  </conditionalFormatting>
  <conditionalFormatting sqref="JD25">
    <cfRule type="duplicateValues" dxfId="6" priority="5"/>
  </conditionalFormatting>
  <conditionalFormatting sqref="JD26">
    <cfRule type="duplicateValues" dxfId="5" priority="6"/>
  </conditionalFormatting>
  <conditionalFormatting sqref="JE25">
    <cfRule type="duplicateValues" dxfId="4" priority="3"/>
  </conditionalFormatting>
  <conditionalFormatting sqref="JE26">
    <cfRule type="duplicateValues" dxfId="3" priority="4"/>
  </conditionalFormatting>
  <hyperlinks>
    <hyperlink ref="B10" r:id="rId1" display="https://pubmed-ncbi-nlm-nih-gov.proxy.insermbiblio.inist.fr/?term=Sheen+YS&amp;cauthor_id=25767048" xr:uid="{990F949B-5AF2-4F66-863B-3AEDEAA6D0E8}"/>
    <hyperlink ref="B14" r:id="rId2" display="https://pubmed-ncbi-nlm-nih-gov.proxy.insermbiblio.inist.fr/?term=Kong+Y&amp;cauthor_id=21325067" xr:uid="{9AD65AC2-DC87-4387-BBD2-573CEE2D2103}"/>
    <hyperlink ref="B9" r:id="rId3" display="https://pubmed-ncbi-nlm-nih-gov.proxy.insermbiblio.inist.fr/?term=Kaji+T&amp;cauthor_id=27771229" xr:uid="{B5C61179-8EAC-4A55-8A85-7B2894DA9F1A}"/>
    <hyperlink ref="B7" r:id="rId4" display="https://pubmed-ncbi-nlm-nih-gov.proxy.insermbiblio.inist.fr/?term=Lee+SH&amp;cauthor_id=29361821" xr:uid="{E4EED22A-8C9D-4AE5-AD35-9D43F80E1C74}"/>
    <hyperlink ref="B3" r:id="rId5" display="https://pubmed-ncbi-nlm-nih-gov.proxy.insermbiblio.inist.fr/?term=Sheen+YS&amp;cauthor_id=31408190" xr:uid="{C26BD68E-1694-42EE-A89F-27A375CF571C}"/>
    <hyperlink ref="B16" r:id="rId6" location="auth-Meng-Wang-Aff1-Aff2" display="https://www.nature.com/articles/s41467-024-50233-z - auth-Meng-Wang-Aff1-Aff2" xr:uid="{EB1A6319-303F-4D99-A840-61F4CC731E5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039D2-1F06-4255-A01C-7BD65A297CBE}">
  <dimension ref="A1:N98"/>
  <sheetViews>
    <sheetView topLeftCell="A10" workbookViewId="0">
      <selection activeCell="J1" sqref="J1:J1048576"/>
    </sheetView>
  </sheetViews>
  <sheetFormatPr defaultColWidth="8.6640625" defaultRowHeight="15"/>
  <cols>
    <col min="1" max="1" width="4.88671875" style="31" customWidth="1"/>
    <col min="2" max="2" width="20.6640625" style="3" customWidth="1"/>
    <col min="3" max="3" width="8.33203125" style="31" customWidth="1"/>
    <col min="4" max="4" width="5.44140625" style="31" customWidth="1"/>
    <col min="5" max="5" width="9.109375" style="31" customWidth="1"/>
    <col min="6" max="6" width="5.44140625" style="31" customWidth="1"/>
    <col min="7" max="7" width="6.33203125" style="31" customWidth="1"/>
    <col min="8" max="8" width="8.44140625" style="31" customWidth="1"/>
    <col min="9" max="9" width="6.109375" style="31" customWidth="1"/>
    <col min="10" max="10" width="55" style="63" customWidth="1"/>
    <col min="11" max="11" width="55" style="63" hidden="1" customWidth="1"/>
    <col min="12" max="12" width="32.5546875" style="7" hidden="1" customWidth="1"/>
    <col min="13" max="13" width="16.33203125" style="7" hidden="1" customWidth="1"/>
    <col min="14" max="37" width="0" style="3" hidden="1" customWidth="1"/>
    <col min="38" max="16384" width="8.6640625" style="3"/>
  </cols>
  <sheetData>
    <row r="1" spans="1:13" s="5" customFormat="1" ht="28.95" customHeight="1">
      <c r="A1" s="197" t="s">
        <v>15</v>
      </c>
      <c r="B1" s="197" t="s">
        <v>0</v>
      </c>
      <c r="C1" s="4" t="s">
        <v>1</v>
      </c>
      <c r="D1" s="199" t="s">
        <v>458</v>
      </c>
      <c r="E1" s="200"/>
      <c r="F1" s="201" t="s">
        <v>440</v>
      </c>
      <c r="G1" s="202"/>
      <c r="H1" s="201" t="s">
        <v>3</v>
      </c>
      <c r="I1" s="202"/>
      <c r="J1" s="203" t="s">
        <v>4</v>
      </c>
      <c r="K1" s="58"/>
      <c r="L1" s="174" t="s">
        <v>457</v>
      </c>
      <c r="M1" s="45"/>
    </row>
    <row r="2" spans="1:13" s="5" customFormat="1" ht="31.2">
      <c r="A2" s="198"/>
      <c r="B2" s="198"/>
      <c r="C2" s="30" t="s">
        <v>2</v>
      </c>
      <c r="D2" s="32" t="s">
        <v>388</v>
      </c>
      <c r="E2" s="4" t="s">
        <v>2</v>
      </c>
      <c r="F2" s="32" t="s">
        <v>388</v>
      </c>
      <c r="G2" s="4" t="s">
        <v>2</v>
      </c>
      <c r="H2" s="32" t="s">
        <v>47</v>
      </c>
      <c r="I2" s="4" t="s">
        <v>2</v>
      </c>
      <c r="J2" s="204"/>
      <c r="K2" s="59"/>
      <c r="L2" s="174"/>
      <c r="M2" s="45"/>
    </row>
    <row r="3" spans="1:13" ht="105">
      <c r="A3" s="1">
        <v>1</v>
      </c>
      <c r="B3" s="2" t="s">
        <v>465</v>
      </c>
      <c r="C3" s="1">
        <v>189</v>
      </c>
      <c r="D3" s="1" t="s">
        <v>385</v>
      </c>
      <c r="E3" s="1">
        <v>189</v>
      </c>
      <c r="F3" s="1" t="s">
        <v>384</v>
      </c>
      <c r="G3" s="20" t="s">
        <v>130</v>
      </c>
      <c r="H3" s="1" t="s">
        <v>384</v>
      </c>
      <c r="I3" s="1">
        <v>189</v>
      </c>
      <c r="J3" s="55" t="s">
        <v>182</v>
      </c>
      <c r="K3" s="55"/>
      <c r="L3" s="6"/>
      <c r="M3" s="46"/>
    </row>
    <row r="4" spans="1:13" ht="135" customHeight="1">
      <c r="A4" s="1">
        <v>2</v>
      </c>
      <c r="B4" s="2" t="s">
        <v>466</v>
      </c>
      <c r="C4" s="1">
        <v>454</v>
      </c>
      <c r="D4" s="1" t="s">
        <v>385</v>
      </c>
      <c r="E4" s="1">
        <v>454</v>
      </c>
      <c r="F4" s="1" t="s">
        <v>384</v>
      </c>
      <c r="G4" s="20" t="s">
        <v>130</v>
      </c>
      <c r="H4" s="1" t="s">
        <v>384</v>
      </c>
      <c r="I4" s="1">
        <v>454</v>
      </c>
      <c r="J4" s="55" t="s">
        <v>377</v>
      </c>
      <c r="K4" s="55"/>
      <c r="L4" s="6"/>
      <c r="M4" s="46"/>
    </row>
    <row r="5" spans="1:13" ht="115.5" customHeight="1">
      <c r="A5" s="1">
        <v>3</v>
      </c>
      <c r="B5" s="2" t="s">
        <v>467</v>
      </c>
      <c r="C5" s="1">
        <v>7</v>
      </c>
      <c r="D5" s="1" t="s">
        <v>385</v>
      </c>
      <c r="E5" s="1">
        <v>31</v>
      </c>
      <c r="F5" s="1" t="s">
        <v>384</v>
      </c>
      <c r="G5" s="20" t="s">
        <v>130</v>
      </c>
      <c r="H5" s="1" t="s">
        <v>385</v>
      </c>
      <c r="I5" s="1">
        <v>31</v>
      </c>
      <c r="J5" s="60" t="s">
        <v>181</v>
      </c>
      <c r="K5" s="60"/>
      <c r="L5" s="34"/>
    </row>
    <row r="6" spans="1:13" ht="135">
      <c r="A6" s="1">
        <v>4</v>
      </c>
      <c r="B6" s="2" t="s">
        <v>468</v>
      </c>
      <c r="C6" s="1">
        <v>103</v>
      </c>
      <c r="D6" s="1" t="s">
        <v>385</v>
      </c>
      <c r="E6" s="1">
        <v>103</v>
      </c>
      <c r="F6" s="1" t="s">
        <v>384</v>
      </c>
      <c r="G6" s="20" t="s">
        <v>130</v>
      </c>
      <c r="H6" s="1" t="s">
        <v>384</v>
      </c>
      <c r="I6" s="1">
        <v>103</v>
      </c>
      <c r="J6" s="55" t="s">
        <v>183</v>
      </c>
      <c r="K6" s="55"/>
      <c r="L6" s="6"/>
      <c r="M6" s="46"/>
    </row>
    <row r="7" spans="1:13" ht="180">
      <c r="A7" s="1">
        <v>5</v>
      </c>
      <c r="B7" s="2" t="s">
        <v>469</v>
      </c>
      <c r="C7" s="1">
        <v>152</v>
      </c>
      <c r="D7" s="1" t="s">
        <v>385</v>
      </c>
      <c r="E7" s="1">
        <v>152</v>
      </c>
      <c r="F7" s="1" t="s">
        <v>384</v>
      </c>
      <c r="G7" s="20" t="s">
        <v>130</v>
      </c>
      <c r="H7" s="1" t="s">
        <v>384</v>
      </c>
      <c r="I7" s="1">
        <v>152</v>
      </c>
      <c r="J7" s="55" t="s">
        <v>185</v>
      </c>
      <c r="K7" s="55"/>
      <c r="L7" s="6"/>
      <c r="M7" s="46"/>
    </row>
    <row r="8" spans="1:13" ht="30">
      <c r="A8" s="1">
        <v>6</v>
      </c>
      <c r="B8" s="2" t="s">
        <v>186</v>
      </c>
      <c r="C8" s="1">
        <v>330</v>
      </c>
      <c r="D8" s="1" t="s">
        <v>385</v>
      </c>
      <c r="E8" s="1">
        <v>330</v>
      </c>
      <c r="F8" s="1" t="s">
        <v>384</v>
      </c>
      <c r="G8" s="20" t="s">
        <v>130</v>
      </c>
      <c r="H8" s="1" t="s">
        <v>384</v>
      </c>
      <c r="I8" s="1">
        <v>330</v>
      </c>
      <c r="J8" s="55" t="s">
        <v>187</v>
      </c>
      <c r="K8" s="55"/>
      <c r="L8" s="6"/>
      <c r="M8" s="46"/>
    </row>
    <row r="9" spans="1:13" ht="25.5" customHeight="1">
      <c r="A9" s="1">
        <v>7</v>
      </c>
      <c r="B9" s="2" t="s">
        <v>470</v>
      </c>
      <c r="C9" s="1">
        <v>103</v>
      </c>
      <c r="D9" s="1" t="s">
        <v>385</v>
      </c>
      <c r="E9" s="1">
        <v>103</v>
      </c>
      <c r="F9" s="1" t="s">
        <v>384</v>
      </c>
      <c r="G9" s="20" t="s">
        <v>130</v>
      </c>
      <c r="H9" s="1" t="s">
        <v>384</v>
      </c>
      <c r="I9" s="1">
        <v>103</v>
      </c>
      <c r="J9" s="55" t="s">
        <v>188</v>
      </c>
      <c r="K9" s="55"/>
      <c r="L9" s="6"/>
      <c r="M9" s="46"/>
    </row>
    <row r="10" spans="1:13" ht="45">
      <c r="A10" s="1">
        <v>8</v>
      </c>
      <c r="B10" s="2" t="s">
        <v>471</v>
      </c>
      <c r="C10" s="1">
        <v>109</v>
      </c>
      <c r="D10" s="1" t="s">
        <v>385</v>
      </c>
      <c r="E10" s="1">
        <v>109</v>
      </c>
      <c r="F10" s="1" t="s">
        <v>384</v>
      </c>
      <c r="G10" s="20" t="s">
        <v>130</v>
      </c>
      <c r="H10" s="1" t="s">
        <v>384</v>
      </c>
      <c r="I10" s="1">
        <v>109</v>
      </c>
      <c r="J10" s="55" t="s">
        <v>189</v>
      </c>
      <c r="K10" s="55"/>
      <c r="L10" s="6"/>
      <c r="M10" s="46"/>
    </row>
    <row r="11" spans="1:13" ht="60">
      <c r="A11" s="1">
        <v>9</v>
      </c>
      <c r="B11" s="2" t="s">
        <v>472</v>
      </c>
      <c r="C11" s="1">
        <v>103</v>
      </c>
      <c r="D11" s="1" t="s">
        <v>385</v>
      </c>
      <c r="E11" s="1">
        <v>103</v>
      </c>
      <c r="F11" s="1" t="s">
        <v>384</v>
      </c>
      <c r="G11" s="20" t="s">
        <v>130</v>
      </c>
      <c r="H11" s="1" t="s">
        <v>384</v>
      </c>
      <c r="I11" s="1">
        <v>103</v>
      </c>
      <c r="J11" s="55" t="s">
        <v>190</v>
      </c>
      <c r="K11" s="55"/>
      <c r="L11" s="6"/>
      <c r="M11" s="46"/>
    </row>
    <row r="12" spans="1:13" s="39" customFormat="1" ht="25.95" customHeight="1">
      <c r="A12" s="1">
        <v>10</v>
      </c>
      <c r="B12" s="37" t="s">
        <v>473</v>
      </c>
      <c r="C12" s="36">
        <v>174</v>
      </c>
      <c r="D12" s="36" t="s">
        <v>385</v>
      </c>
      <c r="E12" s="36">
        <v>174</v>
      </c>
      <c r="F12" s="1" t="s">
        <v>384</v>
      </c>
      <c r="G12" s="20" t="s">
        <v>130</v>
      </c>
      <c r="H12" s="1" t="s">
        <v>384</v>
      </c>
      <c r="I12" s="36">
        <v>174</v>
      </c>
      <c r="J12" s="61" t="s">
        <v>379</v>
      </c>
      <c r="K12" s="61"/>
      <c r="L12" s="38"/>
      <c r="M12" s="47"/>
    </row>
    <row r="13" spans="1:13" ht="85.5" customHeight="1">
      <c r="A13" s="1">
        <v>11</v>
      </c>
      <c r="B13" s="2" t="s">
        <v>474</v>
      </c>
      <c r="C13" s="1">
        <v>87</v>
      </c>
      <c r="D13" s="1" t="s">
        <v>385</v>
      </c>
      <c r="E13" s="1">
        <v>87</v>
      </c>
      <c r="F13" s="1" t="s">
        <v>384</v>
      </c>
      <c r="G13" s="20" t="s">
        <v>130</v>
      </c>
      <c r="H13" s="1" t="s">
        <v>384</v>
      </c>
      <c r="I13" s="1">
        <v>87</v>
      </c>
      <c r="J13" s="55" t="s">
        <v>191</v>
      </c>
      <c r="K13" s="55"/>
      <c r="L13" s="6"/>
      <c r="M13" s="46"/>
    </row>
    <row r="14" spans="1:13" ht="30">
      <c r="A14" s="1">
        <v>12</v>
      </c>
      <c r="B14" s="2" t="s">
        <v>475</v>
      </c>
      <c r="C14" s="1">
        <v>1</v>
      </c>
      <c r="D14" s="1" t="s">
        <v>385</v>
      </c>
      <c r="E14" s="1">
        <v>2</v>
      </c>
      <c r="F14" s="1" t="s">
        <v>384</v>
      </c>
      <c r="G14" s="20" t="s">
        <v>130</v>
      </c>
      <c r="H14" s="1" t="s">
        <v>385</v>
      </c>
      <c r="I14" s="1">
        <v>2</v>
      </c>
      <c r="J14" s="55" t="s">
        <v>195</v>
      </c>
      <c r="K14" s="55"/>
      <c r="L14" s="6"/>
      <c r="M14" s="46"/>
    </row>
    <row r="15" spans="1:13" ht="32.700000000000003" customHeight="1">
      <c r="A15" s="190">
        <v>13</v>
      </c>
      <c r="B15" s="192" t="s">
        <v>476</v>
      </c>
      <c r="C15" s="1">
        <v>100</v>
      </c>
      <c r="D15" s="1" t="s">
        <v>385</v>
      </c>
      <c r="E15" s="1">
        <v>50</v>
      </c>
      <c r="F15" s="1" t="s">
        <v>385</v>
      </c>
      <c r="G15" s="20">
        <v>50</v>
      </c>
      <c r="H15" s="1" t="s">
        <v>384</v>
      </c>
      <c r="I15" s="1">
        <v>100</v>
      </c>
      <c r="J15" s="194" t="s">
        <v>378</v>
      </c>
      <c r="K15" s="56"/>
      <c r="L15" s="55"/>
      <c r="M15" s="48"/>
    </row>
    <row r="16" spans="1:13">
      <c r="A16" s="191"/>
      <c r="B16" s="193"/>
      <c r="C16" s="1">
        <v>100</v>
      </c>
      <c r="D16" s="1" t="s">
        <v>385</v>
      </c>
      <c r="E16" s="1">
        <v>68</v>
      </c>
      <c r="F16" s="1" t="s">
        <v>385</v>
      </c>
      <c r="G16" s="20">
        <v>32</v>
      </c>
      <c r="H16" s="1" t="s">
        <v>384</v>
      </c>
      <c r="I16" s="1">
        <v>100</v>
      </c>
      <c r="J16" s="195"/>
      <c r="K16" s="57"/>
      <c r="L16" s="55"/>
      <c r="M16" s="48"/>
    </row>
    <row r="17" spans="1:14" ht="30">
      <c r="A17" s="1">
        <v>14</v>
      </c>
      <c r="B17" s="2" t="s">
        <v>477</v>
      </c>
      <c r="C17" s="1">
        <v>432</v>
      </c>
      <c r="D17" s="1" t="s">
        <v>385</v>
      </c>
      <c r="E17" s="1">
        <v>432</v>
      </c>
      <c r="F17" s="1" t="s">
        <v>384</v>
      </c>
      <c r="G17" s="20" t="s">
        <v>130</v>
      </c>
      <c r="H17" s="1" t="s">
        <v>384</v>
      </c>
      <c r="I17" s="1">
        <v>432</v>
      </c>
      <c r="J17" s="55" t="s">
        <v>516</v>
      </c>
      <c r="K17" s="55"/>
      <c r="L17" s="6" t="s">
        <v>391</v>
      </c>
      <c r="M17" s="46"/>
    </row>
    <row r="18" spans="1:14" ht="60">
      <c r="A18" s="1">
        <v>15</v>
      </c>
      <c r="B18" s="2" t="s">
        <v>198</v>
      </c>
      <c r="C18" s="1">
        <v>79</v>
      </c>
      <c r="D18" s="1" t="s">
        <v>384</v>
      </c>
      <c r="E18" s="20" t="s">
        <v>130</v>
      </c>
      <c r="F18" s="1" t="s">
        <v>385</v>
      </c>
      <c r="G18" s="1">
        <v>79</v>
      </c>
      <c r="H18" s="1" t="s">
        <v>384</v>
      </c>
      <c r="I18" s="1">
        <v>79</v>
      </c>
      <c r="J18" s="55" t="s">
        <v>515</v>
      </c>
      <c r="K18" s="55"/>
      <c r="L18" s="6"/>
      <c r="M18" s="46"/>
    </row>
    <row r="19" spans="1:14" ht="30.45" customHeight="1">
      <c r="A19" s="1">
        <v>16</v>
      </c>
      <c r="B19" s="2" t="s">
        <v>199</v>
      </c>
      <c r="C19" s="1">
        <v>83</v>
      </c>
      <c r="D19" s="1" t="s">
        <v>385</v>
      </c>
      <c r="E19" s="1">
        <v>83</v>
      </c>
      <c r="F19" s="1" t="s">
        <v>384</v>
      </c>
      <c r="G19" s="20" t="s">
        <v>130</v>
      </c>
      <c r="H19" s="1" t="s">
        <v>384</v>
      </c>
      <c r="I19" s="1">
        <v>83</v>
      </c>
      <c r="J19" s="55" t="s">
        <v>392</v>
      </c>
      <c r="K19" s="55"/>
      <c r="L19" s="6"/>
      <c r="M19" s="46"/>
    </row>
    <row r="20" spans="1:14" ht="60">
      <c r="A20" s="1">
        <v>17</v>
      </c>
      <c r="B20" s="2" t="s">
        <v>478</v>
      </c>
      <c r="C20" s="1">
        <v>417</v>
      </c>
      <c r="D20" s="1" t="s">
        <v>385</v>
      </c>
      <c r="E20" s="1">
        <v>417</v>
      </c>
      <c r="F20" s="1" t="s">
        <v>384</v>
      </c>
      <c r="G20" s="20" t="s">
        <v>130</v>
      </c>
      <c r="H20" s="1" t="s">
        <v>384</v>
      </c>
      <c r="I20" s="1">
        <v>417</v>
      </c>
      <c r="J20" s="55" t="s">
        <v>11</v>
      </c>
      <c r="K20" s="55"/>
      <c r="L20" s="6"/>
      <c r="M20" s="46"/>
    </row>
    <row r="21" spans="1:14" ht="105" customHeight="1">
      <c r="A21" s="1">
        <v>18</v>
      </c>
      <c r="B21" s="2" t="s">
        <v>479</v>
      </c>
      <c r="C21" s="1">
        <v>3</v>
      </c>
      <c r="D21" s="1" t="s">
        <v>385</v>
      </c>
      <c r="E21" s="1">
        <v>3</v>
      </c>
      <c r="F21" s="1" t="s">
        <v>385</v>
      </c>
      <c r="G21" s="1">
        <v>1</v>
      </c>
      <c r="H21" s="1" t="s">
        <v>384</v>
      </c>
      <c r="I21" s="1">
        <v>4</v>
      </c>
      <c r="J21" s="55" t="s">
        <v>463</v>
      </c>
      <c r="K21" s="55"/>
      <c r="L21" s="6" t="s">
        <v>200</v>
      </c>
      <c r="M21" s="46"/>
    </row>
    <row r="22" spans="1:14" ht="29.7" customHeight="1">
      <c r="A22" s="1">
        <v>19</v>
      </c>
      <c r="B22" s="2" t="s">
        <v>511</v>
      </c>
      <c r="C22" s="1">
        <v>1110</v>
      </c>
      <c r="D22" s="1" t="s">
        <v>385</v>
      </c>
      <c r="E22" s="1">
        <v>357</v>
      </c>
      <c r="F22" s="1" t="s">
        <v>384</v>
      </c>
      <c r="G22" s="1" t="s">
        <v>130</v>
      </c>
      <c r="H22" s="1" t="s">
        <v>384</v>
      </c>
      <c r="I22" s="1">
        <v>357</v>
      </c>
      <c r="J22" s="55" t="s">
        <v>393</v>
      </c>
      <c r="K22" s="55"/>
      <c r="L22" s="6"/>
      <c r="M22" s="46"/>
    </row>
    <row r="23" spans="1:14" ht="158.69999999999999" customHeight="1">
      <c r="A23" s="1">
        <v>20</v>
      </c>
      <c r="B23" s="71" t="s">
        <v>512</v>
      </c>
      <c r="C23" s="1">
        <v>5</v>
      </c>
      <c r="D23" s="1" t="s">
        <v>385</v>
      </c>
      <c r="E23" s="1">
        <v>16</v>
      </c>
      <c r="F23" s="1" t="s">
        <v>384</v>
      </c>
      <c r="G23" s="20" t="s">
        <v>130</v>
      </c>
      <c r="H23" s="1" t="s">
        <v>385</v>
      </c>
      <c r="I23" s="1">
        <v>16</v>
      </c>
      <c r="J23" s="55" t="s">
        <v>464</v>
      </c>
      <c r="K23" s="55"/>
      <c r="L23" s="6"/>
      <c r="M23" s="46"/>
    </row>
    <row r="24" spans="1:14" ht="33" customHeight="1">
      <c r="A24" s="74">
        <v>21</v>
      </c>
      <c r="B24" s="71" t="s">
        <v>480</v>
      </c>
      <c r="C24" s="76">
        <v>586</v>
      </c>
      <c r="D24" s="1" t="s">
        <v>385</v>
      </c>
      <c r="E24" s="1">
        <v>349</v>
      </c>
      <c r="F24" s="1" t="s">
        <v>385</v>
      </c>
      <c r="G24" s="1">
        <v>229</v>
      </c>
      <c r="H24" s="1" t="s">
        <v>384</v>
      </c>
      <c r="I24" s="1">
        <v>578</v>
      </c>
      <c r="J24" s="196" t="s">
        <v>16</v>
      </c>
      <c r="K24" s="55"/>
      <c r="L24" s="55"/>
      <c r="M24" s="48"/>
    </row>
    <row r="25" spans="1:14">
      <c r="A25" s="75"/>
      <c r="B25" s="72"/>
      <c r="C25" s="76">
        <v>257</v>
      </c>
      <c r="D25" s="1" t="s">
        <v>385</v>
      </c>
      <c r="E25" s="1">
        <v>177</v>
      </c>
      <c r="F25" s="1" t="s">
        <v>385</v>
      </c>
      <c r="G25" s="1">
        <v>80</v>
      </c>
      <c r="H25" s="1" t="s">
        <v>384</v>
      </c>
      <c r="I25" s="1">
        <v>257</v>
      </c>
      <c r="J25" s="196"/>
      <c r="K25" s="55"/>
      <c r="L25" s="55"/>
      <c r="M25" s="48"/>
    </row>
    <row r="26" spans="1:14" ht="255">
      <c r="A26" s="73">
        <v>22</v>
      </c>
      <c r="B26" s="72" t="s">
        <v>481</v>
      </c>
      <c r="C26" s="1">
        <v>100</v>
      </c>
      <c r="D26" s="1" t="s">
        <v>385</v>
      </c>
      <c r="E26" s="1">
        <v>575</v>
      </c>
      <c r="F26" s="1" t="s">
        <v>385</v>
      </c>
      <c r="G26" s="1">
        <v>335</v>
      </c>
      <c r="H26" s="1" t="s">
        <v>385</v>
      </c>
      <c r="I26" s="1">
        <v>910</v>
      </c>
      <c r="J26" s="55" t="s">
        <v>6</v>
      </c>
      <c r="K26" s="55"/>
      <c r="L26" s="6"/>
      <c r="M26" s="46"/>
    </row>
    <row r="27" spans="1:14" ht="165">
      <c r="A27" s="1">
        <v>23</v>
      </c>
      <c r="B27" s="2" t="s">
        <v>481</v>
      </c>
      <c r="C27" s="1">
        <v>101</v>
      </c>
      <c r="D27" s="1" t="s">
        <v>385</v>
      </c>
      <c r="E27" s="1">
        <v>106</v>
      </c>
      <c r="F27" s="1" t="s">
        <v>384</v>
      </c>
      <c r="G27" s="20" t="s">
        <v>130</v>
      </c>
      <c r="H27" s="1" t="s">
        <v>385</v>
      </c>
      <c r="I27" s="35">
        <v>106</v>
      </c>
      <c r="J27" s="55" t="s">
        <v>5</v>
      </c>
      <c r="K27" s="55"/>
      <c r="L27" s="6"/>
      <c r="M27" s="46"/>
    </row>
    <row r="28" spans="1:14" ht="150">
      <c r="A28" s="1">
        <v>24</v>
      </c>
      <c r="B28" s="2" t="s">
        <v>201</v>
      </c>
      <c r="C28" s="1">
        <v>33</v>
      </c>
      <c r="D28" s="1" t="s">
        <v>385</v>
      </c>
      <c r="E28" s="1">
        <v>34</v>
      </c>
      <c r="F28" s="1" t="s">
        <v>384</v>
      </c>
      <c r="G28" s="20" t="s">
        <v>130</v>
      </c>
      <c r="H28" s="1" t="s">
        <v>385</v>
      </c>
      <c r="I28" s="1">
        <v>34</v>
      </c>
      <c r="J28" s="55" t="s">
        <v>202</v>
      </c>
      <c r="K28" s="55"/>
      <c r="L28" s="55"/>
      <c r="M28" s="48"/>
    </row>
    <row r="29" spans="1:14" ht="40.5" customHeight="1">
      <c r="A29" s="73">
        <v>25</v>
      </c>
      <c r="B29" s="2" t="s">
        <v>203</v>
      </c>
      <c r="C29" s="1">
        <v>47</v>
      </c>
      <c r="D29" s="1" t="s">
        <v>385</v>
      </c>
      <c r="E29" s="1">
        <v>47</v>
      </c>
      <c r="F29" s="1" t="s">
        <v>384</v>
      </c>
      <c r="G29" s="20" t="s">
        <v>130</v>
      </c>
      <c r="H29" s="1" t="s">
        <v>384</v>
      </c>
      <c r="I29" s="1">
        <v>47</v>
      </c>
      <c r="J29" s="55" t="s">
        <v>204</v>
      </c>
      <c r="K29" s="55"/>
      <c r="L29" s="6"/>
      <c r="M29" s="46"/>
    </row>
    <row r="30" spans="1:14" ht="40.200000000000003" customHeight="1">
      <c r="A30" s="1">
        <v>26</v>
      </c>
      <c r="B30" s="2" t="s">
        <v>482</v>
      </c>
      <c r="C30" s="1">
        <v>203</v>
      </c>
      <c r="D30" s="1" t="s">
        <v>385</v>
      </c>
      <c r="E30" s="1">
        <v>203</v>
      </c>
      <c r="F30" s="1" t="s">
        <v>384</v>
      </c>
      <c r="G30" s="20" t="s">
        <v>130</v>
      </c>
      <c r="H30" s="1" t="s">
        <v>384</v>
      </c>
      <c r="I30" s="1">
        <v>203</v>
      </c>
      <c r="J30" s="55" t="s">
        <v>381</v>
      </c>
      <c r="K30" s="55"/>
      <c r="L30" s="6"/>
      <c r="M30" s="46"/>
    </row>
    <row r="31" spans="1:14" ht="39.450000000000003" customHeight="1">
      <c r="A31" s="1">
        <v>27</v>
      </c>
      <c r="B31" s="2" t="s">
        <v>483</v>
      </c>
      <c r="C31" s="1">
        <v>60</v>
      </c>
      <c r="D31" s="1" t="s">
        <v>385</v>
      </c>
      <c r="E31" s="1">
        <v>60</v>
      </c>
      <c r="F31" s="1" t="s">
        <v>385</v>
      </c>
      <c r="G31" s="1">
        <v>60</v>
      </c>
      <c r="H31" s="1" t="s">
        <v>384</v>
      </c>
      <c r="I31" s="1">
        <v>120</v>
      </c>
      <c r="J31" s="55" t="s">
        <v>7</v>
      </c>
      <c r="K31" s="55"/>
      <c r="L31" s="6"/>
      <c r="M31" s="46"/>
      <c r="N31" s="3" t="s">
        <v>213</v>
      </c>
    </row>
    <row r="32" spans="1:14" ht="32.700000000000003" customHeight="1">
      <c r="A32" s="73">
        <v>28</v>
      </c>
      <c r="B32" s="2" t="s">
        <v>484</v>
      </c>
      <c r="C32" s="1">
        <v>147</v>
      </c>
      <c r="D32" s="1" t="s">
        <v>385</v>
      </c>
      <c r="E32" s="1">
        <v>147</v>
      </c>
      <c r="F32" s="1" t="s">
        <v>384</v>
      </c>
      <c r="G32" s="20" t="s">
        <v>130</v>
      </c>
      <c r="H32" s="1" t="s">
        <v>384</v>
      </c>
      <c r="I32" s="1">
        <v>147</v>
      </c>
      <c r="J32" s="55" t="s">
        <v>395</v>
      </c>
      <c r="K32" s="55"/>
      <c r="L32" s="6"/>
      <c r="M32" s="46"/>
    </row>
    <row r="33" spans="1:14">
      <c r="A33" s="1">
        <v>29</v>
      </c>
      <c r="B33" s="2" t="s">
        <v>214</v>
      </c>
      <c r="C33" s="1">
        <v>10</v>
      </c>
      <c r="D33" s="1" t="s">
        <v>385</v>
      </c>
      <c r="E33" s="1">
        <v>64</v>
      </c>
      <c r="F33" s="1" t="s">
        <v>384</v>
      </c>
      <c r="G33" s="20" t="s">
        <v>130</v>
      </c>
      <c r="H33" s="1" t="s">
        <v>385</v>
      </c>
      <c r="I33" s="1">
        <v>64</v>
      </c>
      <c r="J33" s="61" t="s">
        <v>382</v>
      </c>
      <c r="K33" s="61"/>
      <c r="L33" s="38" t="s">
        <v>396</v>
      </c>
      <c r="M33" s="47"/>
      <c r="N33" s="3" t="s">
        <v>397</v>
      </c>
    </row>
    <row r="34" spans="1:14" ht="148.5" customHeight="1">
      <c r="A34" s="1">
        <v>30</v>
      </c>
      <c r="B34" s="2" t="s">
        <v>485</v>
      </c>
      <c r="C34" s="1">
        <v>307</v>
      </c>
      <c r="D34" s="1" t="s">
        <v>385</v>
      </c>
      <c r="E34" s="1">
        <v>307</v>
      </c>
      <c r="F34" s="1" t="s">
        <v>384</v>
      </c>
      <c r="G34" s="20" t="s">
        <v>130</v>
      </c>
      <c r="H34" s="1" t="s">
        <v>384</v>
      </c>
      <c r="I34" s="1">
        <v>307</v>
      </c>
      <c r="J34" s="55" t="s">
        <v>215</v>
      </c>
      <c r="K34" s="55"/>
      <c r="L34" s="6" t="s">
        <v>398</v>
      </c>
      <c r="M34" s="46"/>
      <c r="N34" s="3" t="s">
        <v>399</v>
      </c>
    </row>
    <row r="35" spans="1:14" ht="153" customHeight="1">
      <c r="A35" s="73">
        <v>31</v>
      </c>
      <c r="B35" s="2" t="s">
        <v>486</v>
      </c>
      <c r="C35" s="1">
        <v>4</v>
      </c>
      <c r="D35" s="1" t="s">
        <v>385</v>
      </c>
      <c r="E35" s="1">
        <v>4</v>
      </c>
      <c r="F35" s="1" t="s">
        <v>385</v>
      </c>
      <c r="G35" s="1">
        <v>4</v>
      </c>
      <c r="H35" s="1" t="s">
        <v>384</v>
      </c>
      <c r="I35" s="1">
        <v>8</v>
      </c>
      <c r="J35" s="55" t="s">
        <v>12</v>
      </c>
      <c r="K35" s="55"/>
      <c r="L35" s="6" t="s">
        <v>400</v>
      </c>
      <c r="M35" s="46"/>
    </row>
    <row r="36" spans="1:14" ht="60">
      <c r="A36" s="1">
        <v>32</v>
      </c>
      <c r="B36" s="2" t="s">
        <v>216</v>
      </c>
      <c r="C36" s="1">
        <v>499</v>
      </c>
      <c r="D36" s="1" t="s">
        <v>385</v>
      </c>
      <c r="E36" s="1">
        <v>499</v>
      </c>
      <c r="F36" s="1" t="s">
        <v>130</v>
      </c>
      <c r="G36" s="1" t="s">
        <v>130</v>
      </c>
      <c r="H36" s="1" t="s">
        <v>384</v>
      </c>
      <c r="I36" s="1">
        <v>499</v>
      </c>
      <c r="J36" s="55" t="s">
        <v>401</v>
      </c>
      <c r="K36" s="55"/>
      <c r="L36" s="6"/>
      <c r="M36" s="46" t="s">
        <v>402</v>
      </c>
    </row>
    <row r="37" spans="1:14" ht="32.700000000000003" customHeight="1">
      <c r="A37" s="1">
        <v>33</v>
      </c>
      <c r="B37" s="2" t="s">
        <v>403</v>
      </c>
      <c r="C37" s="1">
        <v>548</v>
      </c>
      <c r="D37" s="1" t="s">
        <v>385</v>
      </c>
      <c r="E37" s="1">
        <v>548</v>
      </c>
      <c r="F37" s="1" t="s">
        <v>130</v>
      </c>
      <c r="G37" s="1" t="s">
        <v>130</v>
      </c>
      <c r="H37" s="1" t="s">
        <v>384</v>
      </c>
      <c r="I37" s="1">
        <v>548</v>
      </c>
      <c r="J37" s="55" t="s">
        <v>380</v>
      </c>
      <c r="K37" s="55"/>
      <c r="L37" s="6"/>
      <c r="M37" s="46" t="s">
        <v>402</v>
      </c>
    </row>
    <row r="38" spans="1:14" ht="32.700000000000003" customHeight="1">
      <c r="A38" s="73">
        <v>34</v>
      </c>
      <c r="B38" s="2" t="s">
        <v>219</v>
      </c>
      <c r="C38" s="1">
        <v>20</v>
      </c>
      <c r="D38" s="1" t="s">
        <v>385</v>
      </c>
      <c r="E38" s="1">
        <v>20</v>
      </c>
      <c r="F38" s="1" t="s">
        <v>385</v>
      </c>
      <c r="G38" s="1">
        <v>20</v>
      </c>
      <c r="H38" s="1" t="s">
        <v>384</v>
      </c>
      <c r="I38" s="1">
        <v>40</v>
      </c>
      <c r="J38" s="55" t="s">
        <v>290</v>
      </c>
      <c r="K38" s="55"/>
      <c r="L38" s="6"/>
      <c r="M38" s="46"/>
    </row>
    <row r="39" spans="1:14" ht="32.700000000000003" customHeight="1">
      <c r="A39" s="1">
        <v>35</v>
      </c>
      <c r="B39" s="2" t="s">
        <v>404</v>
      </c>
      <c r="C39" s="1">
        <v>360</v>
      </c>
      <c r="D39" s="1" t="s">
        <v>385</v>
      </c>
      <c r="E39" s="1">
        <v>360</v>
      </c>
      <c r="F39" s="1" t="s">
        <v>384</v>
      </c>
      <c r="G39" s="1" t="s">
        <v>130</v>
      </c>
      <c r="H39" s="1" t="s">
        <v>384</v>
      </c>
      <c r="I39" s="1">
        <v>360</v>
      </c>
      <c r="J39" s="55" t="s">
        <v>405</v>
      </c>
      <c r="K39" s="55"/>
      <c r="L39" s="6" t="s">
        <v>406</v>
      </c>
      <c r="M39" s="46"/>
    </row>
    <row r="40" spans="1:14" ht="90">
      <c r="A40" s="1">
        <v>36</v>
      </c>
      <c r="B40" s="2" t="s">
        <v>482</v>
      </c>
      <c r="C40" s="1">
        <v>1049</v>
      </c>
      <c r="D40" s="1" t="s">
        <v>385</v>
      </c>
      <c r="E40" s="1">
        <v>1049</v>
      </c>
      <c r="F40" s="1" t="s">
        <v>384</v>
      </c>
      <c r="G40" s="20" t="s">
        <v>130</v>
      </c>
      <c r="H40" s="1" t="s">
        <v>384</v>
      </c>
      <c r="I40" s="1">
        <v>1049</v>
      </c>
      <c r="J40" s="55" t="s">
        <v>220</v>
      </c>
      <c r="K40" s="55"/>
      <c r="L40" s="6"/>
      <c r="M40" s="46"/>
    </row>
    <row r="41" spans="1:14" ht="60">
      <c r="A41" s="77">
        <v>37</v>
      </c>
      <c r="B41" s="78" t="s">
        <v>221</v>
      </c>
      <c r="C41" s="79">
        <v>15</v>
      </c>
      <c r="D41" s="79" t="s">
        <v>385</v>
      </c>
      <c r="E41" s="79">
        <v>15</v>
      </c>
      <c r="F41" s="79" t="s">
        <v>384</v>
      </c>
      <c r="G41" s="86" t="s">
        <v>130</v>
      </c>
      <c r="H41" s="79" t="s">
        <v>384</v>
      </c>
      <c r="I41" s="79">
        <v>15</v>
      </c>
      <c r="J41" s="80" t="s">
        <v>223</v>
      </c>
      <c r="K41" s="55"/>
      <c r="L41" s="6"/>
      <c r="M41" s="46"/>
    </row>
    <row r="42" spans="1:14" ht="60">
      <c r="A42" s="1">
        <v>38</v>
      </c>
      <c r="B42" s="2" t="s">
        <v>222</v>
      </c>
      <c r="C42" s="1">
        <v>45</v>
      </c>
      <c r="D42" s="1" t="s">
        <v>385</v>
      </c>
      <c r="E42" s="1">
        <v>45</v>
      </c>
      <c r="F42" s="1" t="s">
        <v>384</v>
      </c>
      <c r="G42" s="20" t="s">
        <v>130</v>
      </c>
      <c r="H42" s="1" t="s">
        <v>384</v>
      </c>
      <c r="I42" s="1">
        <v>45</v>
      </c>
      <c r="J42" s="55" t="s">
        <v>407</v>
      </c>
      <c r="K42" s="55"/>
      <c r="L42" s="6"/>
      <c r="M42" s="46"/>
    </row>
    <row r="43" spans="1:14" ht="80.7" customHeight="1">
      <c r="A43" s="77">
        <v>39</v>
      </c>
      <c r="B43" s="78" t="s">
        <v>487</v>
      </c>
      <c r="C43" s="79">
        <v>74</v>
      </c>
      <c r="D43" s="79" t="s">
        <v>385</v>
      </c>
      <c r="E43" s="79">
        <v>74</v>
      </c>
      <c r="F43" s="79" t="s">
        <v>384</v>
      </c>
      <c r="G43" s="86" t="s">
        <v>130</v>
      </c>
      <c r="H43" s="79" t="s">
        <v>384</v>
      </c>
      <c r="I43" s="79">
        <v>74</v>
      </c>
      <c r="J43" s="80" t="s">
        <v>224</v>
      </c>
      <c r="K43" s="55"/>
      <c r="L43" s="6"/>
      <c r="M43" s="46"/>
    </row>
    <row r="44" spans="1:14" ht="135">
      <c r="A44" s="1">
        <v>40</v>
      </c>
      <c r="B44" s="2" t="s">
        <v>238</v>
      </c>
      <c r="C44" s="1">
        <v>46</v>
      </c>
      <c r="D44" s="1" t="s">
        <v>385</v>
      </c>
      <c r="E44" s="1">
        <v>46</v>
      </c>
      <c r="F44" s="1" t="s">
        <v>384</v>
      </c>
      <c r="G44" s="20" t="s">
        <v>130</v>
      </c>
      <c r="H44" s="1" t="s">
        <v>384</v>
      </c>
      <c r="I44" s="1">
        <v>46</v>
      </c>
      <c r="J44" s="55" t="s">
        <v>239</v>
      </c>
      <c r="K44" s="55"/>
      <c r="L44" s="6"/>
      <c r="M44" s="46"/>
    </row>
    <row r="45" spans="1:14" ht="43.95" customHeight="1">
      <c r="A45" s="73">
        <v>41</v>
      </c>
      <c r="B45" s="2" t="s">
        <v>272</v>
      </c>
      <c r="C45" s="1">
        <v>324</v>
      </c>
      <c r="D45" s="1" t="s">
        <v>385</v>
      </c>
      <c r="E45" s="1">
        <v>324</v>
      </c>
      <c r="F45" s="1" t="s">
        <v>384</v>
      </c>
      <c r="G45" s="20" t="s">
        <v>130</v>
      </c>
      <c r="H45" s="1" t="s">
        <v>384</v>
      </c>
      <c r="I45" s="1">
        <v>324</v>
      </c>
      <c r="J45" s="55" t="s">
        <v>408</v>
      </c>
      <c r="K45" s="55"/>
      <c r="L45" s="6" t="s">
        <v>402</v>
      </c>
      <c r="M45" s="46"/>
    </row>
    <row r="46" spans="1:14" ht="45">
      <c r="A46" s="1">
        <v>42</v>
      </c>
      <c r="B46" s="2" t="s">
        <v>517</v>
      </c>
      <c r="C46" s="1">
        <v>117</v>
      </c>
      <c r="D46" s="1" t="s">
        <v>385</v>
      </c>
      <c r="E46" s="1">
        <v>117</v>
      </c>
      <c r="F46" s="1" t="s">
        <v>384</v>
      </c>
      <c r="G46" s="20" t="s">
        <v>130</v>
      </c>
      <c r="H46" s="1" t="s">
        <v>384</v>
      </c>
      <c r="I46" s="1">
        <v>117</v>
      </c>
      <c r="J46" s="55" t="s">
        <v>409</v>
      </c>
      <c r="K46" s="55"/>
      <c r="L46" s="6"/>
      <c r="M46" s="46"/>
    </row>
    <row r="47" spans="1:14" ht="39.450000000000003" customHeight="1">
      <c r="A47" s="73">
        <v>43</v>
      </c>
      <c r="B47" s="2" t="s">
        <v>488</v>
      </c>
      <c r="C47" s="1">
        <v>94</v>
      </c>
      <c r="D47" s="1" t="s">
        <v>385</v>
      </c>
      <c r="E47" s="1">
        <v>94</v>
      </c>
      <c r="F47" s="1" t="s">
        <v>384</v>
      </c>
      <c r="G47" s="20" t="s">
        <v>130</v>
      </c>
      <c r="H47" s="1" t="s">
        <v>384</v>
      </c>
      <c r="I47" s="1">
        <v>94</v>
      </c>
      <c r="J47" s="62" t="s">
        <v>410</v>
      </c>
      <c r="K47" s="62"/>
      <c r="L47" s="6"/>
      <c r="M47" s="46"/>
    </row>
    <row r="48" spans="1:14" ht="36.450000000000003" customHeight="1">
      <c r="A48" s="1">
        <v>44</v>
      </c>
      <c r="B48" s="2" t="s">
        <v>489</v>
      </c>
      <c r="C48" s="1">
        <v>91</v>
      </c>
      <c r="D48" s="1" t="s">
        <v>385</v>
      </c>
      <c r="E48" s="1">
        <v>91</v>
      </c>
      <c r="F48" s="1" t="s">
        <v>384</v>
      </c>
      <c r="G48" s="20" t="s">
        <v>130</v>
      </c>
      <c r="H48" s="1" t="s">
        <v>384</v>
      </c>
      <c r="I48" s="1">
        <v>91</v>
      </c>
      <c r="J48" s="55" t="s">
        <v>411</v>
      </c>
      <c r="K48" s="55"/>
      <c r="L48" s="6"/>
      <c r="M48" s="46"/>
    </row>
    <row r="49" spans="1:14" ht="60">
      <c r="A49" s="73">
        <v>45</v>
      </c>
      <c r="B49" s="2" t="s">
        <v>490</v>
      </c>
      <c r="C49" s="1">
        <v>10</v>
      </c>
      <c r="D49" s="1" t="s">
        <v>385</v>
      </c>
      <c r="E49" s="1">
        <v>79</v>
      </c>
      <c r="F49" s="1" t="s">
        <v>385</v>
      </c>
      <c r="G49" s="20" t="s">
        <v>130</v>
      </c>
      <c r="H49" s="1" t="s">
        <v>385</v>
      </c>
      <c r="I49" s="1">
        <v>79</v>
      </c>
      <c r="J49" s="55" t="s">
        <v>412</v>
      </c>
      <c r="K49" s="55"/>
      <c r="L49" s="6"/>
      <c r="M49" s="46"/>
    </row>
    <row r="50" spans="1:14" ht="86.7" customHeight="1">
      <c r="A50" s="1">
        <v>46</v>
      </c>
      <c r="B50" s="2" t="s">
        <v>274</v>
      </c>
      <c r="C50" s="1">
        <v>35</v>
      </c>
      <c r="D50" s="1" t="s">
        <v>385</v>
      </c>
      <c r="E50" s="1">
        <v>35</v>
      </c>
      <c r="F50" s="1" t="s">
        <v>384</v>
      </c>
      <c r="G50" s="20" t="s">
        <v>130</v>
      </c>
      <c r="H50" s="1" t="s">
        <v>384</v>
      </c>
      <c r="I50" s="1">
        <v>35</v>
      </c>
      <c r="J50" s="55" t="s">
        <v>276</v>
      </c>
      <c r="K50" s="55"/>
      <c r="L50" s="6"/>
      <c r="M50" s="46"/>
      <c r="N50" s="3" t="s">
        <v>275</v>
      </c>
    </row>
    <row r="51" spans="1:14" ht="117.45" customHeight="1">
      <c r="A51" s="73">
        <v>47</v>
      </c>
      <c r="B51" s="2" t="s">
        <v>491</v>
      </c>
      <c r="C51" s="1">
        <v>106</v>
      </c>
      <c r="D51" s="1" t="s">
        <v>385</v>
      </c>
      <c r="E51" s="1">
        <v>106</v>
      </c>
      <c r="F51" s="1" t="s">
        <v>384</v>
      </c>
      <c r="G51" s="20" t="s">
        <v>130</v>
      </c>
      <c r="H51" s="1" t="s">
        <v>384</v>
      </c>
      <c r="I51" s="1">
        <v>106</v>
      </c>
      <c r="J51" s="55" t="s">
        <v>8</v>
      </c>
      <c r="K51" s="55"/>
      <c r="L51" s="6"/>
      <c r="M51" s="46"/>
    </row>
    <row r="52" spans="1:14" ht="99" customHeight="1">
      <c r="A52" s="1">
        <v>48</v>
      </c>
      <c r="B52" s="2" t="s">
        <v>277</v>
      </c>
      <c r="C52" s="1">
        <v>417</v>
      </c>
      <c r="D52" s="1" t="s">
        <v>385</v>
      </c>
      <c r="E52" s="1">
        <v>417</v>
      </c>
      <c r="F52" s="1" t="s">
        <v>384</v>
      </c>
      <c r="G52" s="20" t="s">
        <v>130</v>
      </c>
      <c r="H52" s="1" t="s">
        <v>384</v>
      </c>
      <c r="I52" s="1">
        <v>417</v>
      </c>
      <c r="J52" s="55" t="s">
        <v>13</v>
      </c>
      <c r="K52" s="55"/>
      <c r="L52" s="6"/>
      <c r="M52" s="46"/>
    </row>
    <row r="53" spans="1:14" ht="25.5" customHeight="1">
      <c r="A53" s="73">
        <v>49</v>
      </c>
      <c r="B53" s="50" t="s">
        <v>492</v>
      </c>
      <c r="C53" s="1">
        <v>76</v>
      </c>
      <c r="D53" s="1" t="s">
        <v>385</v>
      </c>
      <c r="E53" s="1">
        <v>176</v>
      </c>
      <c r="F53" s="1" t="s">
        <v>384</v>
      </c>
      <c r="G53" s="20" t="s">
        <v>130</v>
      </c>
      <c r="H53" s="1" t="s">
        <v>384</v>
      </c>
      <c r="I53" s="1">
        <v>176</v>
      </c>
      <c r="J53" s="55" t="s">
        <v>278</v>
      </c>
      <c r="K53" s="55"/>
      <c r="L53" s="6"/>
      <c r="M53" s="46"/>
    </row>
    <row r="54" spans="1:14" ht="30">
      <c r="A54" s="1">
        <v>50</v>
      </c>
      <c r="B54" s="2" t="s">
        <v>493</v>
      </c>
      <c r="C54" s="1">
        <v>2</v>
      </c>
      <c r="D54" s="1" t="s">
        <v>385</v>
      </c>
      <c r="E54" s="1">
        <v>13</v>
      </c>
      <c r="F54" s="1" t="s">
        <v>385</v>
      </c>
      <c r="G54" s="1">
        <v>4</v>
      </c>
      <c r="H54" s="1" t="s">
        <v>385</v>
      </c>
      <c r="I54" s="21">
        <v>17</v>
      </c>
      <c r="J54" s="55" t="s">
        <v>9</v>
      </c>
      <c r="K54" s="55"/>
      <c r="L54" s="6"/>
      <c r="M54" s="49"/>
      <c r="N54" s="33" t="s">
        <v>10</v>
      </c>
    </row>
    <row r="55" spans="1:14" ht="41.7" customHeight="1">
      <c r="A55" s="73">
        <v>51</v>
      </c>
      <c r="B55" s="2" t="s">
        <v>279</v>
      </c>
      <c r="C55" s="1">
        <v>98</v>
      </c>
      <c r="D55" s="1" t="s">
        <v>385</v>
      </c>
      <c r="E55" s="1">
        <v>98</v>
      </c>
      <c r="F55" s="1" t="s">
        <v>384</v>
      </c>
      <c r="G55" s="20" t="s">
        <v>130</v>
      </c>
      <c r="H55" s="1" t="s">
        <v>384</v>
      </c>
      <c r="I55" s="1">
        <v>98</v>
      </c>
      <c r="J55" s="55" t="s">
        <v>280</v>
      </c>
      <c r="K55" s="55"/>
      <c r="L55" s="6"/>
      <c r="M55" s="46"/>
    </row>
    <row r="56" spans="1:14" ht="40.200000000000003" customHeight="1">
      <c r="A56" s="1">
        <v>52</v>
      </c>
      <c r="B56" s="2" t="s">
        <v>282</v>
      </c>
      <c r="C56" s="1">
        <v>54</v>
      </c>
      <c r="D56" s="1" t="s">
        <v>385</v>
      </c>
      <c r="E56" s="1">
        <v>54</v>
      </c>
      <c r="F56" s="1" t="s">
        <v>384</v>
      </c>
      <c r="G56" s="20" t="s">
        <v>130</v>
      </c>
      <c r="H56" s="1" t="s">
        <v>384</v>
      </c>
      <c r="I56" s="1">
        <v>54</v>
      </c>
      <c r="J56" s="55" t="s">
        <v>281</v>
      </c>
      <c r="K56" s="55"/>
      <c r="L56" s="6"/>
      <c r="M56" s="46"/>
    </row>
    <row r="57" spans="1:14" ht="40.200000000000003" customHeight="1">
      <c r="A57" s="73">
        <v>53</v>
      </c>
      <c r="B57" s="2" t="s">
        <v>283</v>
      </c>
      <c r="C57" s="1">
        <v>507</v>
      </c>
      <c r="D57" s="1" t="s">
        <v>385</v>
      </c>
      <c r="E57" s="1">
        <v>507</v>
      </c>
      <c r="F57" s="1" t="s">
        <v>384</v>
      </c>
      <c r="G57" s="20" t="s">
        <v>130</v>
      </c>
      <c r="H57" s="1" t="s">
        <v>384</v>
      </c>
      <c r="I57" s="1">
        <v>507</v>
      </c>
      <c r="J57" s="55" t="s">
        <v>288</v>
      </c>
      <c r="K57" s="55"/>
      <c r="L57" s="6"/>
      <c r="M57" s="46"/>
    </row>
    <row r="58" spans="1:14" ht="40.200000000000003" customHeight="1">
      <c r="A58" s="1">
        <v>54</v>
      </c>
      <c r="B58" s="2" t="s">
        <v>284</v>
      </c>
      <c r="C58" s="1">
        <v>112</v>
      </c>
      <c r="D58" s="1" t="s">
        <v>385</v>
      </c>
      <c r="E58" s="1">
        <v>112</v>
      </c>
      <c r="F58" s="1" t="s">
        <v>384</v>
      </c>
      <c r="G58" s="20" t="s">
        <v>130</v>
      </c>
      <c r="H58" s="1" t="s">
        <v>384</v>
      </c>
      <c r="I58" s="1">
        <v>112</v>
      </c>
      <c r="J58" s="55" t="s">
        <v>285</v>
      </c>
      <c r="K58" s="55"/>
      <c r="L58" s="6"/>
      <c r="M58" s="46"/>
    </row>
    <row r="59" spans="1:14" ht="28.5" customHeight="1">
      <c r="A59" s="73">
        <v>55</v>
      </c>
      <c r="B59" s="2" t="s">
        <v>494</v>
      </c>
      <c r="C59" s="1">
        <v>256</v>
      </c>
      <c r="D59" s="1" t="s">
        <v>385</v>
      </c>
      <c r="E59" s="1">
        <v>256</v>
      </c>
      <c r="F59" s="1" t="s">
        <v>384</v>
      </c>
      <c r="G59" s="20" t="s">
        <v>130</v>
      </c>
      <c r="H59" s="1" t="s">
        <v>384</v>
      </c>
      <c r="I59" s="1">
        <v>256</v>
      </c>
      <c r="J59" s="55" t="s">
        <v>287</v>
      </c>
      <c r="K59" s="55"/>
      <c r="L59" s="6" t="s">
        <v>406</v>
      </c>
      <c r="M59" s="46"/>
    </row>
    <row r="60" spans="1:14" ht="28.5" customHeight="1">
      <c r="A60" s="1">
        <v>56</v>
      </c>
      <c r="B60" s="2" t="s">
        <v>495</v>
      </c>
      <c r="C60" s="1">
        <v>257</v>
      </c>
      <c r="D60" s="1" t="s">
        <v>385</v>
      </c>
      <c r="E60" s="1">
        <v>257</v>
      </c>
      <c r="F60" s="1" t="s">
        <v>384</v>
      </c>
      <c r="G60" s="20" t="s">
        <v>130</v>
      </c>
      <c r="H60" s="1" t="s">
        <v>384</v>
      </c>
      <c r="I60" s="1">
        <v>257</v>
      </c>
      <c r="J60" s="55" t="s">
        <v>289</v>
      </c>
      <c r="K60" s="55"/>
      <c r="L60" s="6"/>
      <c r="M60" s="46"/>
    </row>
    <row r="61" spans="1:14" ht="28.5" customHeight="1">
      <c r="A61" s="73">
        <v>57</v>
      </c>
      <c r="B61" s="2" t="s">
        <v>496</v>
      </c>
      <c r="C61" s="1">
        <v>702</v>
      </c>
      <c r="D61" s="1" t="s">
        <v>385</v>
      </c>
      <c r="E61" s="1">
        <v>702</v>
      </c>
      <c r="F61" s="1" t="s">
        <v>384</v>
      </c>
      <c r="G61" s="20" t="s">
        <v>130</v>
      </c>
      <c r="H61" s="1" t="s">
        <v>384</v>
      </c>
      <c r="I61" s="1">
        <v>702</v>
      </c>
      <c r="J61" s="55" t="s">
        <v>430</v>
      </c>
      <c r="K61" s="55"/>
      <c r="L61" s="6"/>
      <c r="M61" s="46"/>
    </row>
    <row r="62" spans="1:14" ht="28.5" customHeight="1">
      <c r="A62" s="1">
        <v>58</v>
      </c>
      <c r="B62" s="2" t="s">
        <v>291</v>
      </c>
      <c r="C62" s="1">
        <v>16</v>
      </c>
      <c r="D62" s="1" t="s">
        <v>385</v>
      </c>
      <c r="E62" s="1">
        <v>16</v>
      </c>
      <c r="F62" s="1" t="s">
        <v>384</v>
      </c>
      <c r="G62" s="20" t="s">
        <v>130</v>
      </c>
      <c r="H62" s="1" t="s">
        <v>384</v>
      </c>
      <c r="I62" s="1">
        <v>16</v>
      </c>
      <c r="J62" s="55" t="s">
        <v>429</v>
      </c>
      <c r="K62" s="55"/>
      <c r="L62" s="6"/>
      <c r="M62" s="46"/>
    </row>
    <row r="63" spans="1:14" ht="28.5" customHeight="1">
      <c r="A63" s="73">
        <v>59</v>
      </c>
      <c r="B63" s="2" t="s">
        <v>292</v>
      </c>
      <c r="C63" s="1">
        <v>80</v>
      </c>
      <c r="D63" s="1" t="s">
        <v>385</v>
      </c>
      <c r="E63" s="1">
        <v>80</v>
      </c>
      <c r="F63" s="1" t="s">
        <v>384</v>
      </c>
      <c r="G63" s="20" t="s">
        <v>130</v>
      </c>
      <c r="H63" s="1" t="s">
        <v>384</v>
      </c>
      <c r="I63" s="1">
        <v>80</v>
      </c>
      <c r="J63" s="62" t="s">
        <v>431</v>
      </c>
      <c r="K63" s="62"/>
      <c r="L63" s="6" t="s">
        <v>432</v>
      </c>
      <c r="M63" s="46"/>
    </row>
    <row r="64" spans="1:14" ht="28.5" customHeight="1">
      <c r="A64" s="1">
        <v>60</v>
      </c>
      <c r="B64" s="2" t="s">
        <v>299</v>
      </c>
      <c r="C64" s="1">
        <v>26</v>
      </c>
      <c r="D64" s="1" t="s">
        <v>385</v>
      </c>
      <c r="E64" s="1">
        <v>62</v>
      </c>
      <c r="F64" s="1" t="s">
        <v>384</v>
      </c>
      <c r="G64" s="20" t="s">
        <v>130</v>
      </c>
      <c r="H64" s="1" t="s">
        <v>385</v>
      </c>
      <c r="I64" s="1">
        <v>62</v>
      </c>
      <c r="J64" s="55" t="s">
        <v>290</v>
      </c>
      <c r="K64" s="55"/>
      <c r="L64" s="6" t="s">
        <v>432</v>
      </c>
      <c r="M64" s="46"/>
    </row>
    <row r="65" spans="1:13" ht="30">
      <c r="A65" s="73">
        <v>61</v>
      </c>
      <c r="B65" s="2" t="s">
        <v>300</v>
      </c>
      <c r="C65" s="1">
        <v>51</v>
      </c>
      <c r="D65" s="1" t="s">
        <v>385</v>
      </c>
      <c r="E65" s="1">
        <v>51</v>
      </c>
      <c r="F65" s="1" t="s">
        <v>384</v>
      </c>
      <c r="G65" s="20" t="s">
        <v>130</v>
      </c>
      <c r="H65" s="1" t="s">
        <v>384</v>
      </c>
      <c r="I65" s="1">
        <v>51</v>
      </c>
      <c r="J65" s="55" t="s">
        <v>433</v>
      </c>
      <c r="K65" s="55"/>
      <c r="L65" s="6"/>
      <c r="M65" s="46"/>
    </row>
    <row r="66" spans="1:13" ht="25.5" customHeight="1">
      <c r="A66" s="1">
        <v>62</v>
      </c>
      <c r="B66" s="2" t="s">
        <v>497</v>
      </c>
      <c r="C66" s="1">
        <v>205</v>
      </c>
      <c r="D66" s="1" t="s">
        <v>385</v>
      </c>
      <c r="E66" s="1">
        <v>205</v>
      </c>
      <c r="F66" s="1" t="s">
        <v>384</v>
      </c>
      <c r="G66" s="20" t="s">
        <v>130</v>
      </c>
      <c r="H66" s="1" t="s">
        <v>384</v>
      </c>
      <c r="I66" s="1">
        <v>205</v>
      </c>
      <c r="J66" s="55" t="s">
        <v>312</v>
      </c>
      <c r="K66" s="55"/>
      <c r="L66" s="6"/>
      <c r="M66" s="46"/>
    </row>
    <row r="67" spans="1:13" ht="37.5" customHeight="1">
      <c r="A67" s="73">
        <v>63</v>
      </c>
      <c r="B67" s="2" t="s">
        <v>313</v>
      </c>
      <c r="C67" s="1">
        <v>185</v>
      </c>
      <c r="D67" s="1" t="s">
        <v>385</v>
      </c>
      <c r="E67" s="1">
        <v>185</v>
      </c>
      <c r="F67" s="1" t="s">
        <v>384</v>
      </c>
      <c r="G67" s="20" t="s">
        <v>130</v>
      </c>
      <c r="H67" s="1" t="s">
        <v>384</v>
      </c>
      <c r="I67" s="1">
        <v>185</v>
      </c>
      <c r="J67" s="55" t="s">
        <v>314</v>
      </c>
      <c r="K67" s="55"/>
      <c r="L67" s="6"/>
      <c r="M67" s="46"/>
    </row>
    <row r="68" spans="1:13" ht="37.950000000000003" customHeight="1">
      <c r="A68" s="1">
        <v>64</v>
      </c>
      <c r="B68" s="2" t="s">
        <v>498</v>
      </c>
      <c r="C68" s="1">
        <v>27</v>
      </c>
      <c r="D68" s="1" t="s">
        <v>385</v>
      </c>
      <c r="E68" s="1">
        <v>27</v>
      </c>
      <c r="F68" s="1" t="s">
        <v>384</v>
      </c>
      <c r="G68" s="20" t="s">
        <v>130</v>
      </c>
      <c r="H68" s="1" t="s">
        <v>384</v>
      </c>
      <c r="I68" s="1">
        <v>27</v>
      </c>
      <c r="J68" s="55" t="s">
        <v>315</v>
      </c>
      <c r="K68" s="55"/>
      <c r="L68" s="6"/>
      <c r="M68" s="46"/>
    </row>
    <row r="69" spans="1:13" ht="26.7" customHeight="1">
      <c r="A69" s="73">
        <v>65</v>
      </c>
      <c r="B69" s="2" t="s">
        <v>499</v>
      </c>
      <c r="C69" s="1">
        <v>26</v>
      </c>
      <c r="D69" s="1" t="s">
        <v>385</v>
      </c>
      <c r="E69" s="1">
        <v>26</v>
      </c>
      <c r="F69" s="1" t="s">
        <v>384</v>
      </c>
      <c r="G69" s="20" t="s">
        <v>130</v>
      </c>
      <c r="H69" s="1" t="s">
        <v>384</v>
      </c>
      <c r="I69" s="1">
        <v>26</v>
      </c>
      <c r="J69" s="55" t="s">
        <v>373</v>
      </c>
      <c r="K69" s="55"/>
      <c r="L69" s="6"/>
      <c r="M69" s="46"/>
    </row>
    <row r="70" spans="1:13" ht="37.950000000000003" customHeight="1">
      <c r="A70" s="1">
        <v>66</v>
      </c>
      <c r="B70" s="2" t="s">
        <v>500</v>
      </c>
      <c r="C70" s="1">
        <v>96</v>
      </c>
      <c r="D70" s="1" t="s">
        <v>385</v>
      </c>
      <c r="E70" s="1">
        <v>96</v>
      </c>
      <c r="F70" s="1" t="s">
        <v>384</v>
      </c>
      <c r="G70" s="20" t="s">
        <v>130</v>
      </c>
      <c r="H70" s="1" t="s">
        <v>384</v>
      </c>
      <c r="I70" s="1">
        <v>96</v>
      </c>
      <c r="J70" s="55" t="s">
        <v>346</v>
      </c>
      <c r="K70" s="55"/>
      <c r="L70" s="6"/>
      <c r="M70" s="46"/>
    </row>
    <row r="71" spans="1:13" ht="28.5" customHeight="1">
      <c r="A71" s="73">
        <v>67</v>
      </c>
      <c r="B71" s="2" t="s">
        <v>347</v>
      </c>
      <c r="C71" s="1">
        <v>73</v>
      </c>
      <c r="D71" s="1" t="s">
        <v>385</v>
      </c>
      <c r="E71" s="1">
        <v>73</v>
      </c>
      <c r="F71" s="1" t="s">
        <v>384</v>
      </c>
      <c r="G71" s="20" t="s">
        <v>130</v>
      </c>
      <c r="H71" s="1" t="s">
        <v>384</v>
      </c>
      <c r="I71" s="1">
        <v>73</v>
      </c>
      <c r="J71" s="55" t="s">
        <v>348</v>
      </c>
      <c r="K71" s="55"/>
      <c r="L71" s="6"/>
      <c r="M71" s="46"/>
    </row>
    <row r="72" spans="1:13" ht="37.950000000000003" customHeight="1">
      <c r="A72" s="1">
        <v>68</v>
      </c>
      <c r="B72" s="2" t="s">
        <v>434</v>
      </c>
      <c r="C72" s="1">
        <v>126</v>
      </c>
      <c r="D72" s="1" t="s">
        <v>385</v>
      </c>
      <c r="E72" s="1">
        <v>126</v>
      </c>
      <c r="F72" s="1" t="s">
        <v>384</v>
      </c>
      <c r="G72" s="20" t="s">
        <v>130</v>
      </c>
      <c r="H72" s="1" t="s">
        <v>384</v>
      </c>
      <c r="I72" s="1">
        <v>126</v>
      </c>
      <c r="J72" s="55" t="s">
        <v>435</v>
      </c>
      <c r="K72" s="55"/>
      <c r="L72" s="6"/>
      <c r="M72" s="46"/>
    </row>
    <row r="73" spans="1:13" ht="40.200000000000003" customHeight="1">
      <c r="A73" s="73">
        <v>69</v>
      </c>
      <c r="B73" s="2" t="s">
        <v>349</v>
      </c>
      <c r="C73" s="1">
        <v>50</v>
      </c>
      <c r="D73" s="1" t="s">
        <v>385</v>
      </c>
      <c r="E73" s="1">
        <v>50</v>
      </c>
      <c r="F73" s="1" t="s">
        <v>384</v>
      </c>
      <c r="G73" s="20" t="s">
        <v>130</v>
      </c>
      <c r="H73" s="1" t="s">
        <v>384</v>
      </c>
      <c r="I73" s="1">
        <v>50</v>
      </c>
      <c r="J73" s="55" t="s">
        <v>350</v>
      </c>
      <c r="K73" s="55"/>
      <c r="L73" s="6"/>
      <c r="M73" s="46"/>
    </row>
    <row r="74" spans="1:13" ht="28.2" customHeight="1">
      <c r="A74" s="1">
        <v>70</v>
      </c>
      <c r="B74" s="2" t="s">
        <v>352</v>
      </c>
      <c r="C74" s="1">
        <v>56</v>
      </c>
      <c r="D74" s="1" t="s">
        <v>385</v>
      </c>
      <c r="E74" s="1">
        <v>56</v>
      </c>
      <c r="F74" s="1" t="s">
        <v>384</v>
      </c>
      <c r="G74" s="20" t="s">
        <v>130</v>
      </c>
      <c r="H74" s="1" t="s">
        <v>384</v>
      </c>
      <c r="I74" s="1">
        <v>56</v>
      </c>
      <c r="J74" s="55" t="s">
        <v>353</v>
      </c>
      <c r="K74" s="55"/>
      <c r="L74" s="6"/>
      <c r="M74" s="46"/>
    </row>
    <row r="75" spans="1:13" ht="28.2" customHeight="1">
      <c r="A75" s="73">
        <v>71</v>
      </c>
      <c r="B75" s="2" t="s">
        <v>513</v>
      </c>
      <c r="C75" s="1">
        <v>42</v>
      </c>
      <c r="D75" s="1" t="s">
        <v>385</v>
      </c>
      <c r="E75" s="1">
        <v>42</v>
      </c>
      <c r="F75" s="1" t="s">
        <v>384</v>
      </c>
      <c r="G75" s="20" t="s">
        <v>130</v>
      </c>
      <c r="H75" s="1" t="s">
        <v>384</v>
      </c>
      <c r="I75" s="1">
        <v>42</v>
      </c>
      <c r="J75" s="55" t="s">
        <v>436</v>
      </c>
      <c r="K75" s="55"/>
      <c r="L75" s="6"/>
      <c r="M75" s="46"/>
    </row>
    <row r="76" spans="1:13" ht="28.2" customHeight="1">
      <c r="A76" s="1">
        <v>72</v>
      </c>
      <c r="B76" s="2" t="s">
        <v>355</v>
      </c>
      <c r="C76" s="1">
        <v>13</v>
      </c>
      <c r="D76" s="1" t="s">
        <v>385</v>
      </c>
      <c r="E76" s="1">
        <v>13</v>
      </c>
      <c r="F76" s="1" t="s">
        <v>385</v>
      </c>
      <c r="G76" s="1">
        <v>31</v>
      </c>
      <c r="H76" s="1" t="s">
        <v>385</v>
      </c>
      <c r="I76" s="1">
        <v>30</v>
      </c>
      <c r="J76" s="55" t="s">
        <v>356</v>
      </c>
      <c r="K76" s="55"/>
      <c r="L76" s="6"/>
      <c r="M76" s="46"/>
    </row>
    <row r="77" spans="1:13" ht="36.450000000000003" customHeight="1">
      <c r="A77" s="73">
        <v>73</v>
      </c>
      <c r="B77" s="2" t="s">
        <v>357</v>
      </c>
      <c r="C77" s="1">
        <v>20</v>
      </c>
      <c r="D77" s="1" t="s">
        <v>385</v>
      </c>
      <c r="E77" s="1">
        <v>20</v>
      </c>
      <c r="F77" s="1" t="s">
        <v>384</v>
      </c>
      <c r="G77" s="20" t="s">
        <v>130</v>
      </c>
      <c r="H77" s="1" t="s">
        <v>384</v>
      </c>
      <c r="I77" s="1">
        <v>20</v>
      </c>
      <c r="J77" s="55" t="s">
        <v>358</v>
      </c>
      <c r="K77" s="55"/>
      <c r="L77" s="6"/>
      <c r="M77" s="46"/>
    </row>
    <row r="78" spans="1:13" ht="28.2" customHeight="1">
      <c r="A78" s="1">
        <v>74</v>
      </c>
      <c r="B78" s="2" t="s">
        <v>364</v>
      </c>
      <c r="C78" s="1">
        <v>8</v>
      </c>
      <c r="D78" s="1" t="s">
        <v>385</v>
      </c>
      <c r="E78" s="1">
        <v>8</v>
      </c>
      <c r="F78" s="1" t="s">
        <v>385</v>
      </c>
      <c r="G78" s="20">
        <v>40</v>
      </c>
      <c r="H78" s="1" t="s">
        <v>385</v>
      </c>
      <c r="I78" s="1">
        <v>48</v>
      </c>
      <c r="J78" s="55" t="s">
        <v>356</v>
      </c>
      <c r="K78" s="55"/>
      <c r="L78" s="6" t="s">
        <v>437</v>
      </c>
      <c r="M78" s="46"/>
    </row>
    <row r="79" spans="1:13" ht="28.2" customHeight="1">
      <c r="A79" s="73">
        <v>75</v>
      </c>
      <c r="B79" s="2" t="s">
        <v>501</v>
      </c>
      <c r="C79" s="1">
        <v>39</v>
      </c>
      <c r="D79" s="1" t="s">
        <v>385</v>
      </c>
      <c r="E79" s="1">
        <v>39</v>
      </c>
      <c r="F79" s="1" t="s">
        <v>384</v>
      </c>
      <c r="G79" s="20" t="s">
        <v>130</v>
      </c>
      <c r="H79" s="1" t="s">
        <v>384</v>
      </c>
      <c r="I79" s="1">
        <v>39</v>
      </c>
      <c r="J79" s="55" t="s">
        <v>359</v>
      </c>
      <c r="K79" s="55"/>
      <c r="L79" s="6" t="s">
        <v>432</v>
      </c>
      <c r="M79" s="46"/>
    </row>
    <row r="80" spans="1:13" ht="28.2" customHeight="1">
      <c r="A80" s="1">
        <v>76</v>
      </c>
      <c r="B80" s="2" t="s">
        <v>502</v>
      </c>
      <c r="C80" s="1">
        <v>50</v>
      </c>
      <c r="D80" s="1" t="s">
        <v>385</v>
      </c>
      <c r="E80" s="1">
        <v>50</v>
      </c>
      <c r="F80" s="1" t="s">
        <v>384</v>
      </c>
      <c r="G80" s="20" t="s">
        <v>130</v>
      </c>
      <c r="H80" s="1" t="s">
        <v>384</v>
      </c>
      <c r="I80" s="1">
        <v>50</v>
      </c>
      <c r="J80" s="55" t="s">
        <v>290</v>
      </c>
      <c r="K80" s="55"/>
      <c r="L80" s="6"/>
      <c r="M80" s="46"/>
    </row>
    <row r="81" spans="1:13" ht="28.2" customHeight="1">
      <c r="A81" s="73">
        <v>77</v>
      </c>
      <c r="B81" s="2" t="s">
        <v>503</v>
      </c>
      <c r="C81" s="1">
        <v>96</v>
      </c>
      <c r="D81" s="1" t="s">
        <v>385</v>
      </c>
      <c r="E81" s="1">
        <v>96</v>
      </c>
      <c r="F81" s="1" t="s">
        <v>384</v>
      </c>
      <c r="G81" s="20" t="s">
        <v>130</v>
      </c>
      <c r="H81" s="1" t="s">
        <v>384</v>
      </c>
      <c r="I81" s="1">
        <v>96</v>
      </c>
      <c r="J81" s="61" t="s">
        <v>363</v>
      </c>
      <c r="K81" s="61"/>
      <c r="L81" s="38"/>
      <c r="M81" s="47"/>
    </row>
    <row r="82" spans="1:13" ht="28.2" customHeight="1">
      <c r="A82" s="1">
        <v>78</v>
      </c>
      <c r="B82" s="2" t="s">
        <v>364</v>
      </c>
      <c r="C82" s="1">
        <v>82</v>
      </c>
      <c r="D82" s="1" t="s">
        <v>385</v>
      </c>
      <c r="E82" s="1">
        <v>82</v>
      </c>
      <c r="F82" s="1" t="s">
        <v>384</v>
      </c>
      <c r="G82" s="20" t="s">
        <v>130</v>
      </c>
      <c r="H82" s="1" t="s">
        <v>385</v>
      </c>
      <c r="I82" s="1">
        <v>82</v>
      </c>
      <c r="J82" s="55" t="s">
        <v>359</v>
      </c>
      <c r="K82" s="55"/>
      <c r="L82" s="6"/>
      <c r="M82" s="46"/>
    </row>
    <row r="83" spans="1:13" ht="28.2" customHeight="1">
      <c r="A83" s="73">
        <v>79</v>
      </c>
      <c r="B83" s="2" t="s">
        <v>504</v>
      </c>
      <c r="C83" s="1">
        <v>187</v>
      </c>
      <c r="D83" s="1" t="s">
        <v>385</v>
      </c>
      <c r="E83" s="1">
        <v>187</v>
      </c>
      <c r="F83" s="1" t="s">
        <v>384</v>
      </c>
      <c r="G83" s="20" t="s">
        <v>130</v>
      </c>
      <c r="H83" s="1" t="s">
        <v>384</v>
      </c>
      <c r="I83" s="1">
        <v>187</v>
      </c>
      <c r="J83" s="55" t="s">
        <v>439</v>
      </c>
      <c r="K83" s="55"/>
      <c r="L83" s="6" t="s">
        <v>438</v>
      </c>
      <c r="M83" s="46"/>
    </row>
    <row r="84" spans="1:13" ht="28.2" customHeight="1">
      <c r="A84" s="1">
        <v>80</v>
      </c>
      <c r="B84" s="2" t="s">
        <v>365</v>
      </c>
      <c r="C84" s="1">
        <v>109</v>
      </c>
      <c r="D84" s="1" t="s">
        <v>385</v>
      </c>
      <c r="E84" s="1">
        <v>109</v>
      </c>
      <c r="F84" s="1" t="s">
        <v>384</v>
      </c>
      <c r="G84" s="20" t="s">
        <v>130</v>
      </c>
      <c r="H84" s="1" t="s">
        <v>384</v>
      </c>
      <c r="I84" s="1">
        <v>109</v>
      </c>
      <c r="J84" s="55" t="s">
        <v>366</v>
      </c>
      <c r="K84" s="55"/>
      <c r="L84" s="6" t="s">
        <v>432</v>
      </c>
      <c r="M84" s="46"/>
    </row>
    <row r="85" spans="1:13" ht="28.2" customHeight="1">
      <c r="A85" s="73">
        <v>81</v>
      </c>
      <c r="B85" s="2" t="s">
        <v>441</v>
      </c>
      <c r="C85" s="1">
        <v>114</v>
      </c>
      <c r="D85" s="1" t="s">
        <v>385</v>
      </c>
      <c r="E85" s="1">
        <v>114</v>
      </c>
      <c r="F85" s="1" t="s">
        <v>384</v>
      </c>
      <c r="G85" s="20" t="s">
        <v>130</v>
      </c>
      <c r="H85" s="1" t="s">
        <v>384</v>
      </c>
      <c r="I85" s="1">
        <v>114</v>
      </c>
      <c r="J85" s="55" t="s">
        <v>359</v>
      </c>
      <c r="K85" s="55"/>
      <c r="L85" s="6" t="s">
        <v>432</v>
      </c>
      <c r="M85" s="46"/>
    </row>
    <row r="86" spans="1:13" ht="37.950000000000003" customHeight="1">
      <c r="A86" s="1">
        <v>82</v>
      </c>
      <c r="B86" s="2" t="s">
        <v>505</v>
      </c>
      <c r="C86" s="1">
        <v>240</v>
      </c>
      <c r="D86" s="1" t="s">
        <v>385</v>
      </c>
      <c r="E86" s="1">
        <v>240</v>
      </c>
      <c r="F86" s="1" t="s">
        <v>384</v>
      </c>
      <c r="G86" s="20" t="s">
        <v>130</v>
      </c>
      <c r="H86" s="1" t="s">
        <v>384</v>
      </c>
      <c r="I86" s="1">
        <v>240</v>
      </c>
      <c r="J86" s="55" t="s">
        <v>443</v>
      </c>
      <c r="K86" s="55"/>
      <c r="L86" s="6" t="s">
        <v>442</v>
      </c>
      <c r="M86" s="46"/>
    </row>
    <row r="87" spans="1:13" ht="34.950000000000003" customHeight="1">
      <c r="A87" s="73">
        <v>83</v>
      </c>
      <c r="B87" s="2" t="s">
        <v>367</v>
      </c>
      <c r="C87" s="1">
        <v>72</v>
      </c>
      <c r="D87" s="1" t="s">
        <v>385</v>
      </c>
      <c r="E87" s="1">
        <v>72</v>
      </c>
      <c r="F87" s="1" t="s">
        <v>384</v>
      </c>
      <c r="G87" s="20" t="s">
        <v>130</v>
      </c>
      <c r="H87" s="1" t="s">
        <v>384</v>
      </c>
      <c r="I87" s="1">
        <v>72</v>
      </c>
      <c r="J87" s="55" t="s">
        <v>368</v>
      </c>
      <c r="K87" s="55"/>
      <c r="L87" s="6" t="s">
        <v>447</v>
      </c>
      <c r="M87" s="46"/>
    </row>
    <row r="88" spans="1:13" ht="36.450000000000003" customHeight="1">
      <c r="A88" s="1">
        <v>84</v>
      </c>
      <c r="B88" s="2" t="s">
        <v>444</v>
      </c>
      <c r="C88" s="1">
        <v>113</v>
      </c>
      <c r="D88" s="1" t="s">
        <v>385</v>
      </c>
      <c r="E88" s="1">
        <v>113</v>
      </c>
      <c r="F88" s="1" t="s">
        <v>384</v>
      </c>
      <c r="G88" s="20" t="s">
        <v>130</v>
      </c>
      <c r="H88" s="1" t="s">
        <v>384</v>
      </c>
      <c r="I88" s="1">
        <v>113</v>
      </c>
      <c r="J88" s="55" t="s">
        <v>445</v>
      </c>
      <c r="K88" s="55"/>
      <c r="L88" s="6" t="s">
        <v>446</v>
      </c>
      <c r="M88" s="46"/>
    </row>
    <row r="89" spans="1:13" ht="37.950000000000003" customHeight="1">
      <c r="A89" s="73">
        <v>85</v>
      </c>
      <c r="B89" s="2" t="s">
        <v>370</v>
      </c>
      <c r="C89" s="1">
        <v>47</v>
      </c>
      <c r="D89" s="1" t="s">
        <v>385</v>
      </c>
      <c r="E89" s="1">
        <v>47</v>
      </c>
      <c r="F89" s="1" t="s">
        <v>384</v>
      </c>
      <c r="G89" s="20" t="s">
        <v>130</v>
      </c>
      <c r="H89" s="1" t="s">
        <v>384</v>
      </c>
      <c r="I89" s="1">
        <v>47</v>
      </c>
      <c r="J89" s="55" t="s">
        <v>448</v>
      </c>
      <c r="K89" s="55"/>
      <c r="L89" s="6" t="s">
        <v>449</v>
      </c>
      <c r="M89" s="46"/>
    </row>
    <row r="90" spans="1:13" ht="28.2" customHeight="1">
      <c r="A90" s="1">
        <v>86</v>
      </c>
      <c r="B90" s="2" t="s">
        <v>371</v>
      </c>
      <c r="C90" s="1">
        <v>60</v>
      </c>
      <c r="D90" s="1" t="s">
        <v>385</v>
      </c>
      <c r="E90" s="1">
        <v>60</v>
      </c>
      <c r="F90" s="1" t="s">
        <v>384</v>
      </c>
      <c r="G90" s="20" t="s">
        <v>130</v>
      </c>
      <c r="H90" s="1" t="s">
        <v>384</v>
      </c>
      <c r="I90" s="1">
        <v>60</v>
      </c>
      <c r="J90" s="55" t="s">
        <v>372</v>
      </c>
      <c r="K90" s="55"/>
      <c r="L90" s="6" t="s">
        <v>450</v>
      </c>
      <c r="M90" s="46"/>
    </row>
    <row r="91" spans="1:13" ht="28.2" customHeight="1">
      <c r="A91" s="73">
        <v>87</v>
      </c>
      <c r="B91" s="2" t="s">
        <v>506</v>
      </c>
      <c r="C91" s="1">
        <v>61</v>
      </c>
      <c r="D91" s="1" t="s">
        <v>385</v>
      </c>
      <c r="E91" s="1">
        <v>61</v>
      </c>
      <c r="F91" s="1" t="s">
        <v>384</v>
      </c>
      <c r="G91" s="20" t="s">
        <v>130</v>
      </c>
      <c r="H91" s="1" t="s">
        <v>384</v>
      </c>
      <c r="I91" s="1">
        <v>61</v>
      </c>
      <c r="J91" s="55" t="s">
        <v>373</v>
      </c>
      <c r="K91" s="55"/>
      <c r="L91" s="6" t="s">
        <v>437</v>
      </c>
      <c r="M91" s="46"/>
    </row>
    <row r="92" spans="1:13" ht="38.700000000000003" customHeight="1">
      <c r="A92" s="1">
        <v>88</v>
      </c>
      <c r="B92" s="2" t="s">
        <v>507</v>
      </c>
      <c r="C92" s="1">
        <v>46</v>
      </c>
      <c r="D92" s="1" t="s">
        <v>385</v>
      </c>
      <c r="E92" s="1">
        <v>15</v>
      </c>
      <c r="F92" s="1" t="s">
        <v>385</v>
      </c>
      <c r="G92" s="1">
        <v>46</v>
      </c>
      <c r="H92" s="1" t="s">
        <v>384</v>
      </c>
      <c r="I92" s="1">
        <v>61</v>
      </c>
      <c r="J92" s="55" t="s">
        <v>14</v>
      </c>
      <c r="K92" s="55"/>
      <c r="L92" s="6" t="s">
        <v>437</v>
      </c>
      <c r="M92" s="46"/>
    </row>
    <row r="93" spans="1:13" ht="28.2" customHeight="1">
      <c r="A93" s="73">
        <v>89</v>
      </c>
      <c r="B93" s="2" t="s">
        <v>451</v>
      </c>
      <c r="C93" s="1">
        <v>40</v>
      </c>
      <c r="D93" s="1" t="s">
        <v>385</v>
      </c>
      <c r="E93" s="1">
        <v>40</v>
      </c>
      <c r="F93" s="1" t="s">
        <v>384</v>
      </c>
      <c r="G93" s="20" t="s">
        <v>130</v>
      </c>
      <c r="H93" s="1" t="s">
        <v>384</v>
      </c>
      <c r="I93" s="1">
        <v>40</v>
      </c>
      <c r="J93" s="55" t="s">
        <v>359</v>
      </c>
      <c r="K93" s="55"/>
      <c r="L93" s="6" t="s">
        <v>432</v>
      </c>
      <c r="M93" s="46"/>
    </row>
    <row r="94" spans="1:13" ht="36.450000000000003" customHeight="1">
      <c r="A94" s="1">
        <v>90</v>
      </c>
      <c r="B94" s="2" t="s">
        <v>508</v>
      </c>
      <c r="C94" s="1">
        <v>19</v>
      </c>
      <c r="D94" s="1" t="s">
        <v>385</v>
      </c>
      <c r="E94" s="1">
        <v>19</v>
      </c>
      <c r="F94" s="1" t="s">
        <v>385</v>
      </c>
      <c r="G94" s="1">
        <v>32</v>
      </c>
      <c r="H94" s="1" t="s">
        <v>385</v>
      </c>
      <c r="I94" s="1">
        <v>51</v>
      </c>
      <c r="J94" s="55" t="s">
        <v>453</v>
      </c>
      <c r="K94" s="55"/>
      <c r="L94" s="6" t="s">
        <v>432</v>
      </c>
      <c r="M94" s="46"/>
    </row>
    <row r="95" spans="1:13" ht="28.95" customHeight="1">
      <c r="A95" s="73">
        <v>91</v>
      </c>
      <c r="B95" s="2" t="s">
        <v>452</v>
      </c>
      <c r="C95" s="1">
        <v>91</v>
      </c>
      <c r="D95" s="1" t="s">
        <v>385</v>
      </c>
      <c r="E95" s="1">
        <v>91</v>
      </c>
      <c r="F95" s="1" t="s">
        <v>384</v>
      </c>
      <c r="G95" s="20" t="s">
        <v>130</v>
      </c>
      <c r="H95" s="1" t="s">
        <v>384</v>
      </c>
      <c r="I95" s="1">
        <v>91</v>
      </c>
      <c r="J95" s="55" t="s">
        <v>454</v>
      </c>
      <c r="K95" s="55"/>
      <c r="L95" s="6" t="s">
        <v>432</v>
      </c>
      <c r="M95" s="46"/>
    </row>
    <row r="96" spans="1:13" ht="28.2" customHeight="1">
      <c r="A96" s="1">
        <v>92</v>
      </c>
      <c r="B96" s="2" t="s">
        <v>509</v>
      </c>
      <c r="C96" s="1">
        <v>173</v>
      </c>
      <c r="D96" s="1" t="s">
        <v>385</v>
      </c>
      <c r="E96" s="1">
        <v>173</v>
      </c>
      <c r="F96" s="1" t="s">
        <v>384</v>
      </c>
      <c r="G96" s="20" t="s">
        <v>130</v>
      </c>
      <c r="H96" s="1" t="s">
        <v>384</v>
      </c>
      <c r="I96" s="1">
        <v>173</v>
      </c>
      <c r="J96" s="55" t="s">
        <v>455</v>
      </c>
      <c r="K96" s="55"/>
      <c r="L96" s="6" t="s">
        <v>456</v>
      </c>
      <c r="M96" s="46"/>
    </row>
    <row r="97" spans="1:13" ht="28.2" customHeight="1">
      <c r="A97" s="73">
        <v>93</v>
      </c>
      <c r="B97" s="2" t="s">
        <v>510</v>
      </c>
      <c r="C97" s="1">
        <v>5</v>
      </c>
      <c r="D97" s="1" t="s">
        <v>385</v>
      </c>
      <c r="E97" s="1">
        <v>5</v>
      </c>
      <c r="F97" s="1" t="s">
        <v>385</v>
      </c>
      <c r="G97" s="20">
        <v>5</v>
      </c>
      <c r="H97" s="1" t="s">
        <v>384</v>
      </c>
      <c r="I97" s="1">
        <v>10</v>
      </c>
      <c r="J97" s="55" t="s">
        <v>459</v>
      </c>
      <c r="K97" s="55"/>
      <c r="L97" s="6" t="s">
        <v>460</v>
      </c>
      <c r="M97" s="46"/>
    </row>
    <row r="98" spans="1:13">
      <c r="C98" s="31">
        <f>SUM(C3:C97)</f>
        <v>14654</v>
      </c>
      <c r="E98" s="31">
        <f>SUM(E3:E97)</f>
        <v>14179</v>
      </c>
      <c r="G98" s="31">
        <f>SUM(G3:G97)</f>
        <v>1048</v>
      </c>
    </row>
  </sheetData>
  <mergeCells count="11">
    <mergeCell ref="L1:L2"/>
    <mergeCell ref="A15:A16"/>
    <mergeCell ref="B15:B16"/>
    <mergeCell ref="J15:J16"/>
    <mergeCell ref="J24:J25"/>
    <mergeCell ref="A1:A2"/>
    <mergeCell ref="B1:B2"/>
    <mergeCell ref="D1:E1"/>
    <mergeCell ref="F1:G1"/>
    <mergeCell ref="H1:I1"/>
    <mergeCell ref="J1:J2"/>
  </mergeCells>
  <conditionalFormatting sqref="B17:B23">
    <cfRule type="duplicateValues" dxfId="2" priority="1"/>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AC281-7069-4491-94DE-1B7761B50297}">
  <dimension ref="A1:N98"/>
  <sheetViews>
    <sheetView showGridLines="0" zoomScale="66" zoomScaleNormal="66" workbookViewId="0">
      <pane xSplit="2" ySplit="2" topLeftCell="C24" activePane="bottomRight" state="frozen"/>
      <selection pane="topRight" activeCell="C1" sqref="C1"/>
      <selection pane="bottomLeft" activeCell="A3" sqref="A3"/>
      <selection pane="bottomRight" activeCell="E27" sqref="E27:E28"/>
    </sheetView>
  </sheetViews>
  <sheetFormatPr defaultColWidth="8.6640625" defaultRowHeight="15"/>
  <cols>
    <col min="1" max="1" width="4.88671875" style="31" customWidth="1"/>
    <col min="2" max="2" width="20.6640625" style="3" customWidth="1"/>
    <col min="3" max="3" width="8.33203125" style="31" customWidth="1"/>
    <col min="4" max="4" width="5.44140625" style="31" customWidth="1"/>
    <col min="5" max="5" width="9.109375" style="31" customWidth="1"/>
    <col min="6" max="6" width="5.44140625" style="31" customWidth="1"/>
    <col min="7" max="7" width="6.33203125" style="31" customWidth="1"/>
    <col min="8" max="8" width="8.44140625" style="31" customWidth="1"/>
    <col min="9" max="9" width="6.109375" style="31" customWidth="1"/>
    <col min="10" max="10" width="77.44140625" style="63" customWidth="1"/>
    <col min="11" max="11" width="55" style="63" hidden="1" customWidth="1"/>
    <col min="12" max="12" width="32.5546875" style="7" hidden="1" customWidth="1"/>
    <col min="13" max="13" width="16.33203125" style="7" hidden="1" customWidth="1"/>
    <col min="14" max="37" width="0" style="3" hidden="1" customWidth="1"/>
    <col min="38" max="16384" width="8.6640625" style="3"/>
  </cols>
  <sheetData>
    <row r="1" spans="1:13" s="5" customFormat="1" ht="28.95" customHeight="1">
      <c r="A1" s="197" t="s">
        <v>15</v>
      </c>
      <c r="B1" s="197" t="s">
        <v>0</v>
      </c>
      <c r="C1" s="4" t="s">
        <v>1</v>
      </c>
      <c r="D1" s="199" t="s">
        <v>458</v>
      </c>
      <c r="E1" s="200"/>
      <c r="F1" s="201" t="s">
        <v>440</v>
      </c>
      <c r="G1" s="202"/>
      <c r="H1" s="201" t="s">
        <v>3</v>
      </c>
      <c r="I1" s="202"/>
      <c r="J1" s="203" t="s">
        <v>4</v>
      </c>
      <c r="K1" s="58"/>
      <c r="L1" s="174" t="s">
        <v>457</v>
      </c>
      <c r="M1" s="45"/>
    </row>
    <row r="2" spans="1:13" s="5" customFormat="1" ht="31.2">
      <c r="A2" s="198"/>
      <c r="B2" s="198"/>
      <c r="C2" s="30" t="s">
        <v>2</v>
      </c>
      <c r="D2" s="32" t="s">
        <v>388</v>
      </c>
      <c r="E2" s="4" t="s">
        <v>2</v>
      </c>
      <c r="F2" s="32" t="s">
        <v>388</v>
      </c>
      <c r="G2" s="4" t="s">
        <v>2</v>
      </c>
      <c r="H2" s="32" t="s">
        <v>47</v>
      </c>
      <c r="I2" s="4" t="s">
        <v>2</v>
      </c>
      <c r="J2" s="204"/>
      <c r="K2" s="59"/>
      <c r="L2" s="174"/>
      <c r="M2" s="45"/>
    </row>
    <row r="3" spans="1:13" ht="75">
      <c r="A3" s="1">
        <v>1</v>
      </c>
      <c r="B3" s="2" t="s">
        <v>465</v>
      </c>
      <c r="C3" s="1">
        <v>189</v>
      </c>
      <c r="D3" s="1" t="s">
        <v>385</v>
      </c>
      <c r="E3" s="1">
        <v>189</v>
      </c>
      <c r="F3" s="1" t="s">
        <v>384</v>
      </c>
      <c r="G3" s="20"/>
      <c r="H3" s="1" t="s">
        <v>384</v>
      </c>
      <c r="I3" s="1">
        <v>189</v>
      </c>
      <c r="J3" s="55" t="s">
        <v>182</v>
      </c>
      <c r="K3" s="55"/>
      <c r="L3" s="6"/>
      <c r="M3" s="46"/>
    </row>
    <row r="4" spans="1:13" ht="135" customHeight="1">
      <c r="A4" s="1">
        <v>2</v>
      </c>
      <c r="B4" s="2" t="s">
        <v>466</v>
      </c>
      <c r="C4" s="1">
        <v>454</v>
      </c>
      <c r="D4" s="1" t="s">
        <v>385</v>
      </c>
      <c r="E4" s="1">
        <v>454</v>
      </c>
      <c r="F4" s="1" t="s">
        <v>384</v>
      </c>
      <c r="G4" s="20"/>
      <c r="H4" s="1" t="s">
        <v>384</v>
      </c>
      <c r="I4" s="1">
        <v>454</v>
      </c>
      <c r="J4" s="55" t="s">
        <v>377</v>
      </c>
      <c r="K4" s="55"/>
      <c r="L4" s="6"/>
      <c r="M4" s="46"/>
    </row>
    <row r="5" spans="1:13" ht="115.5" customHeight="1">
      <c r="A5" s="1">
        <v>3</v>
      </c>
      <c r="B5" s="2" t="s">
        <v>467</v>
      </c>
      <c r="C5" s="1">
        <v>7</v>
      </c>
      <c r="D5" s="1" t="s">
        <v>385</v>
      </c>
      <c r="E5" s="1">
        <v>31</v>
      </c>
      <c r="F5" s="1" t="s">
        <v>384</v>
      </c>
      <c r="G5" s="20"/>
      <c r="H5" s="1" t="s">
        <v>385</v>
      </c>
      <c r="I5" s="1">
        <v>31</v>
      </c>
      <c r="J5" s="60" t="s">
        <v>181</v>
      </c>
      <c r="K5" s="60"/>
      <c r="L5" s="34"/>
    </row>
    <row r="6" spans="1:13" ht="105">
      <c r="A6" s="1">
        <v>4</v>
      </c>
      <c r="B6" s="2" t="s">
        <v>468</v>
      </c>
      <c r="C6" s="1">
        <v>103</v>
      </c>
      <c r="D6" s="1" t="s">
        <v>385</v>
      </c>
      <c r="E6" s="1">
        <v>103</v>
      </c>
      <c r="F6" s="1" t="s">
        <v>384</v>
      </c>
      <c r="G6" s="20"/>
      <c r="H6" s="1" t="s">
        <v>384</v>
      </c>
      <c r="I6" s="1">
        <v>103</v>
      </c>
      <c r="J6" s="55" t="s">
        <v>183</v>
      </c>
      <c r="K6" s="55"/>
      <c r="L6" s="6"/>
      <c r="M6" s="46"/>
    </row>
    <row r="7" spans="1:13" ht="135">
      <c r="A7" s="1">
        <v>5</v>
      </c>
      <c r="B7" s="2" t="s">
        <v>469</v>
      </c>
      <c r="C7" s="1">
        <v>152</v>
      </c>
      <c r="D7" s="1" t="s">
        <v>385</v>
      </c>
      <c r="E7" s="1">
        <v>152</v>
      </c>
      <c r="F7" s="1" t="s">
        <v>384</v>
      </c>
      <c r="G7" s="20"/>
      <c r="H7" s="1" t="s">
        <v>384</v>
      </c>
      <c r="I7" s="1">
        <v>152</v>
      </c>
      <c r="J7" s="55" t="s">
        <v>185</v>
      </c>
      <c r="K7" s="55"/>
      <c r="L7" s="6"/>
      <c r="M7" s="46"/>
    </row>
    <row r="8" spans="1:13" ht="30">
      <c r="A8" s="1">
        <v>6</v>
      </c>
      <c r="B8" s="2" t="s">
        <v>186</v>
      </c>
      <c r="C8" s="1">
        <v>330</v>
      </c>
      <c r="D8" s="1" t="s">
        <v>385</v>
      </c>
      <c r="E8" s="1">
        <v>330</v>
      </c>
      <c r="F8" s="1" t="s">
        <v>384</v>
      </c>
      <c r="G8" s="20"/>
      <c r="H8" s="1" t="s">
        <v>384</v>
      </c>
      <c r="I8" s="1">
        <v>330</v>
      </c>
      <c r="J8" s="55" t="s">
        <v>187</v>
      </c>
      <c r="K8" s="55"/>
      <c r="L8" s="6"/>
      <c r="M8" s="46"/>
    </row>
    <row r="9" spans="1:13" ht="25.5" customHeight="1">
      <c r="A9" s="1">
        <v>7</v>
      </c>
      <c r="B9" s="2" t="s">
        <v>470</v>
      </c>
      <c r="C9" s="1">
        <v>103</v>
      </c>
      <c r="D9" s="1" t="s">
        <v>385</v>
      </c>
      <c r="E9" s="1">
        <v>103</v>
      </c>
      <c r="F9" s="1" t="s">
        <v>384</v>
      </c>
      <c r="G9" s="20"/>
      <c r="H9" s="1" t="s">
        <v>384</v>
      </c>
      <c r="I9" s="1">
        <v>103</v>
      </c>
      <c r="J9" s="55" t="s">
        <v>188</v>
      </c>
      <c r="K9" s="55"/>
      <c r="L9" s="6"/>
      <c r="M9" s="46"/>
    </row>
    <row r="10" spans="1:13" ht="30">
      <c r="A10" s="1">
        <v>8</v>
      </c>
      <c r="B10" s="2" t="s">
        <v>471</v>
      </c>
      <c r="C10" s="1">
        <v>109</v>
      </c>
      <c r="D10" s="1" t="s">
        <v>385</v>
      </c>
      <c r="E10" s="1">
        <v>109</v>
      </c>
      <c r="F10" s="1" t="s">
        <v>384</v>
      </c>
      <c r="G10" s="20"/>
      <c r="H10" s="1" t="s">
        <v>384</v>
      </c>
      <c r="I10" s="1">
        <v>109</v>
      </c>
      <c r="J10" s="55" t="s">
        <v>189</v>
      </c>
      <c r="K10" s="55"/>
      <c r="L10" s="6"/>
      <c r="M10" s="46"/>
    </row>
    <row r="11" spans="1:13" ht="45">
      <c r="A11" s="1">
        <v>9</v>
      </c>
      <c r="B11" s="2" t="s">
        <v>472</v>
      </c>
      <c r="C11" s="1">
        <v>103</v>
      </c>
      <c r="D11" s="1" t="s">
        <v>385</v>
      </c>
      <c r="E11" s="1">
        <v>103</v>
      </c>
      <c r="F11" s="1" t="s">
        <v>384</v>
      </c>
      <c r="G11" s="20"/>
      <c r="H11" s="1" t="s">
        <v>384</v>
      </c>
      <c r="I11" s="1">
        <v>103</v>
      </c>
      <c r="J11" s="55" t="s">
        <v>190</v>
      </c>
      <c r="K11" s="55"/>
      <c r="L11" s="6"/>
      <c r="M11" s="46"/>
    </row>
    <row r="12" spans="1:13" s="39" customFormat="1" ht="25.95" customHeight="1">
      <c r="A12" s="1">
        <v>10</v>
      </c>
      <c r="B12" s="37" t="s">
        <v>473</v>
      </c>
      <c r="C12" s="36">
        <v>174</v>
      </c>
      <c r="D12" s="36" t="s">
        <v>385</v>
      </c>
      <c r="E12" s="36">
        <v>174</v>
      </c>
      <c r="F12" s="1" t="s">
        <v>384</v>
      </c>
      <c r="G12" s="20"/>
      <c r="H12" s="1" t="s">
        <v>384</v>
      </c>
      <c r="I12" s="36">
        <v>174</v>
      </c>
      <c r="J12" s="61" t="s">
        <v>379</v>
      </c>
      <c r="K12" s="61"/>
      <c r="L12" s="38"/>
      <c r="M12" s="47"/>
    </row>
    <row r="13" spans="1:13" ht="85.5" customHeight="1">
      <c r="A13" s="1">
        <v>11</v>
      </c>
      <c r="B13" s="2" t="s">
        <v>474</v>
      </c>
      <c r="C13" s="1">
        <v>87</v>
      </c>
      <c r="D13" s="1" t="s">
        <v>385</v>
      </c>
      <c r="E13" s="1">
        <v>87</v>
      </c>
      <c r="F13" s="1" t="s">
        <v>384</v>
      </c>
      <c r="G13" s="20"/>
      <c r="H13" s="1" t="s">
        <v>384</v>
      </c>
      <c r="I13" s="1">
        <v>87</v>
      </c>
      <c r="J13" s="55" t="s">
        <v>191</v>
      </c>
      <c r="K13" s="55"/>
      <c r="L13" s="6"/>
      <c r="M13" s="46"/>
    </row>
    <row r="14" spans="1:13" ht="30">
      <c r="A14" s="1">
        <v>12</v>
      </c>
      <c r="B14" s="2" t="s">
        <v>475</v>
      </c>
      <c r="C14" s="1">
        <v>1</v>
      </c>
      <c r="D14" s="1" t="s">
        <v>385</v>
      </c>
      <c r="E14" s="1">
        <v>2</v>
      </c>
      <c r="F14" s="1" t="s">
        <v>384</v>
      </c>
      <c r="G14" s="20"/>
      <c r="H14" s="1" t="s">
        <v>385</v>
      </c>
      <c r="I14" s="1">
        <v>2</v>
      </c>
      <c r="J14" s="55" t="s">
        <v>195</v>
      </c>
      <c r="K14" s="55"/>
      <c r="L14" s="6"/>
      <c r="M14" s="46"/>
    </row>
    <row r="15" spans="1:13" ht="32.700000000000003" customHeight="1">
      <c r="A15" s="190">
        <v>13</v>
      </c>
      <c r="B15" s="192" t="s">
        <v>476</v>
      </c>
      <c r="C15" s="1">
        <v>100</v>
      </c>
      <c r="D15" s="1" t="s">
        <v>385</v>
      </c>
      <c r="E15" s="1">
        <v>50</v>
      </c>
      <c r="F15" s="1" t="s">
        <v>385</v>
      </c>
      <c r="G15" s="20">
        <v>50</v>
      </c>
      <c r="H15" s="1" t="s">
        <v>384</v>
      </c>
      <c r="I15" s="1">
        <v>100</v>
      </c>
      <c r="J15" s="194" t="s">
        <v>378</v>
      </c>
      <c r="K15" s="56"/>
      <c r="L15" s="55"/>
      <c r="M15" s="48"/>
    </row>
    <row r="16" spans="1:13">
      <c r="A16" s="191"/>
      <c r="B16" s="193"/>
      <c r="C16" s="1">
        <v>100</v>
      </c>
      <c r="D16" s="1" t="s">
        <v>385</v>
      </c>
      <c r="E16" s="1">
        <v>68</v>
      </c>
      <c r="F16" s="1" t="s">
        <v>385</v>
      </c>
      <c r="G16" s="20">
        <v>32</v>
      </c>
      <c r="H16" s="1" t="s">
        <v>384</v>
      </c>
      <c r="I16" s="1">
        <v>100</v>
      </c>
      <c r="J16" s="195"/>
      <c r="K16" s="57"/>
      <c r="L16" s="55"/>
      <c r="M16" s="48"/>
    </row>
    <row r="17" spans="1:14" ht="30">
      <c r="A17" s="1">
        <v>14</v>
      </c>
      <c r="B17" s="2" t="s">
        <v>477</v>
      </c>
      <c r="C17" s="1">
        <v>432</v>
      </c>
      <c r="D17" s="1" t="s">
        <v>385</v>
      </c>
      <c r="E17" s="1">
        <v>432</v>
      </c>
      <c r="F17" s="1" t="s">
        <v>384</v>
      </c>
      <c r="G17" s="20"/>
      <c r="H17" s="1" t="s">
        <v>384</v>
      </c>
      <c r="I17" s="1">
        <v>432</v>
      </c>
      <c r="J17" s="55" t="s">
        <v>516</v>
      </c>
      <c r="K17" s="55"/>
      <c r="L17" s="6" t="s">
        <v>391</v>
      </c>
      <c r="M17" s="46"/>
    </row>
    <row r="18" spans="1:14" ht="45">
      <c r="A18" s="1">
        <v>15</v>
      </c>
      <c r="B18" s="2" t="s">
        <v>198</v>
      </c>
      <c r="C18" s="1">
        <v>79</v>
      </c>
      <c r="D18" s="1" t="s">
        <v>384</v>
      </c>
      <c r="E18" s="20" t="s">
        <v>130</v>
      </c>
      <c r="F18" s="1" t="s">
        <v>385</v>
      </c>
      <c r="G18" s="1">
        <v>79</v>
      </c>
      <c r="H18" s="1" t="s">
        <v>384</v>
      </c>
      <c r="I18" s="1">
        <v>79</v>
      </c>
      <c r="J18" s="55" t="s">
        <v>515</v>
      </c>
      <c r="K18" s="55"/>
      <c r="L18" s="6"/>
      <c r="M18" s="46"/>
    </row>
    <row r="19" spans="1:14" ht="30.45" customHeight="1">
      <c r="A19" s="1">
        <v>16</v>
      </c>
      <c r="B19" s="2" t="s">
        <v>199</v>
      </c>
      <c r="C19" s="1">
        <v>83</v>
      </c>
      <c r="D19" s="1" t="s">
        <v>385</v>
      </c>
      <c r="E19" s="1">
        <v>83</v>
      </c>
      <c r="F19" s="1" t="s">
        <v>384</v>
      </c>
      <c r="G19" s="20"/>
      <c r="H19" s="1" t="s">
        <v>384</v>
      </c>
      <c r="I19" s="1">
        <v>83</v>
      </c>
      <c r="J19" s="55" t="s">
        <v>392</v>
      </c>
      <c r="K19" s="55"/>
      <c r="L19" s="6"/>
      <c r="M19" s="46"/>
    </row>
    <row r="20" spans="1:14" ht="45">
      <c r="A20" s="1">
        <v>17</v>
      </c>
      <c r="B20" s="2" t="s">
        <v>478</v>
      </c>
      <c r="C20" s="1">
        <v>417</v>
      </c>
      <c r="D20" s="1" t="s">
        <v>385</v>
      </c>
      <c r="E20" s="1">
        <v>417</v>
      </c>
      <c r="F20" s="1" t="s">
        <v>384</v>
      </c>
      <c r="G20" s="20"/>
      <c r="H20" s="1" t="s">
        <v>384</v>
      </c>
      <c r="I20" s="1">
        <v>417</v>
      </c>
      <c r="J20" s="55" t="s">
        <v>11</v>
      </c>
      <c r="K20" s="55"/>
      <c r="L20" s="6"/>
      <c r="M20" s="46"/>
    </row>
    <row r="21" spans="1:14" ht="105" customHeight="1">
      <c r="A21" s="1">
        <v>18</v>
      </c>
      <c r="B21" s="2" t="s">
        <v>479</v>
      </c>
      <c r="C21" s="1">
        <v>3</v>
      </c>
      <c r="D21" s="1" t="s">
        <v>385</v>
      </c>
      <c r="E21" s="1">
        <v>3</v>
      </c>
      <c r="F21" s="1" t="s">
        <v>385</v>
      </c>
      <c r="G21" s="1">
        <v>1</v>
      </c>
      <c r="H21" s="1" t="s">
        <v>384</v>
      </c>
      <c r="I21" s="1">
        <v>4</v>
      </c>
      <c r="J21" s="55" t="s">
        <v>463</v>
      </c>
      <c r="K21" s="55"/>
      <c r="L21" s="6" t="s">
        <v>200</v>
      </c>
      <c r="M21" s="46"/>
    </row>
    <row r="22" spans="1:14" ht="29.7" customHeight="1">
      <c r="A22" s="1">
        <v>19</v>
      </c>
      <c r="B22" s="2" t="s">
        <v>511</v>
      </c>
      <c r="C22" s="1">
        <v>1110</v>
      </c>
      <c r="D22" s="1" t="s">
        <v>385</v>
      </c>
      <c r="E22" s="1">
        <v>357</v>
      </c>
      <c r="F22" s="1" t="s">
        <v>384</v>
      </c>
      <c r="G22" s="20"/>
      <c r="H22" s="1" t="s">
        <v>384</v>
      </c>
      <c r="I22" s="1">
        <v>357</v>
      </c>
      <c r="J22" s="55" t="s">
        <v>393</v>
      </c>
      <c r="K22" s="55"/>
      <c r="L22" s="6"/>
      <c r="M22" s="46"/>
    </row>
    <row r="23" spans="1:14" ht="158.69999999999999" customHeight="1">
      <c r="A23" s="1">
        <v>20</v>
      </c>
      <c r="B23" s="71" t="s">
        <v>512</v>
      </c>
      <c r="C23" s="1">
        <v>5</v>
      </c>
      <c r="D23" s="1" t="s">
        <v>385</v>
      </c>
      <c r="E23" s="1">
        <v>16</v>
      </c>
      <c r="F23" s="1" t="s">
        <v>384</v>
      </c>
      <c r="G23" s="20"/>
      <c r="H23" s="1" t="s">
        <v>385</v>
      </c>
      <c r="I23" s="1">
        <v>16</v>
      </c>
      <c r="J23" s="55" t="s">
        <v>464</v>
      </c>
      <c r="K23" s="55"/>
      <c r="L23" s="6"/>
      <c r="M23" s="46"/>
    </row>
    <row r="24" spans="1:14" ht="33" customHeight="1">
      <c r="A24" s="74">
        <v>21</v>
      </c>
      <c r="B24" s="71" t="s">
        <v>480</v>
      </c>
      <c r="C24" s="76">
        <v>586</v>
      </c>
      <c r="D24" s="1" t="s">
        <v>385</v>
      </c>
      <c r="E24" s="1">
        <v>349</v>
      </c>
      <c r="F24" s="1" t="s">
        <v>385</v>
      </c>
      <c r="G24" s="1">
        <v>229</v>
      </c>
      <c r="H24" s="1" t="s">
        <v>384</v>
      </c>
      <c r="I24" s="1">
        <v>578</v>
      </c>
      <c r="J24" s="196" t="s">
        <v>16</v>
      </c>
      <c r="K24" s="55"/>
      <c r="L24" s="55"/>
      <c r="M24" s="48"/>
    </row>
    <row r="25" spans="1:14">
      <c r="A25" s="75"/>
      <c r="B25" s="72"/>
      <c r="C25" s="76">
        <v>257</v>
      </c>
      <c r="D25" s="1" t="s">
        <v>385</v>
      </c>
      <c r="E25" s="1">
        <v>177</v>
      </c>
      <c r="F25" s="1" t="s">
        <v>385</v>
      </c>
      <c r="G25" s="1">
        <v>80</v>
      </c>
      <c r="H25" s="1" t="s">
        <v>384</v>
      </c>
      <c r="I25" s="1">
        <v>257</v>
      </c>
      <c r="J25" s="196"/>
      <c r="K25" s="55"/>
      <c r="L25" s="55"/>
      <c r="M25" s="48"/>
    </row>
    <row r="26" spans="1:14" ht="180">
      <c r="A26" s="73">
        <v>22</v>
      </c>
      <c r="B26" s="72" t="s">
        <v>481</v>
      </c>
      <c r="C26" s="1">
        <v>100</v>
      </c>
      <c r="D26" s="1" t="s">
        <v>385</v>
      </c>
      <c r="E26" s="1">
        <v>575</v>
      </c>
      <c r="F26" s="1" t="s">
        <v>385</v>
      </c>
      <c r="G26" s="1">
        <v>335</v>
      </c>
      <c r="H26" s="1" t="s">
        <v>385</v>
      </c>
      <c r="I26" s="1">
        <v>910</v>
      </c>
      <c r="J26" s="55" t="s">
        <v>6</v>
      </c>
      <c r="K26" s="55"/>
      <c r="L26" s="6"/>
      <c r="M26" s="46"/>
    </row>
    <row r="27" spans="1:14" ht="120">
      <c r="A27" s="1">
        <v>23</v>
      </c>
      <c r="B27" s="2" t="s">
        <v>481</v>
      </c>
      <c r="C27" s="1">
        <v>101</v>
      </c>
      <c r="D27" s="1" t="s">
        <v>385</v>
      </c>
      <c r="E27" s="1">
        <v>106</v>
      </c>
      <c r="F27" s="1" t="s">
        <v>384</v>
      </c>
      <c r="G27" s="20"/>
      <c r="H27" s="1" t="s">
        <v>385</v>
      </c>
      <c r="I27" s="35">
        <v>106</v>
      </c>
      <c r="J27" s="55" t="s">
        <v>5</v>
      </c>
      <c r="K27" s="55"/>
      <c r="L27" s="6"/>
      <c r="M27" s="46"/>
    </row>
    <row r="28" spans="1:14" ht="120">
      <c r="A28" s="1">
        <v>24</v>
      </c>
      <c r="B28" s="2" t="s">
        <v>201</v>
      </c>
      <c r="C28" s="1">
        <v>33</v>
      </c>
      <c r="D28" s="1" t="s">
        <v>385</v>
      </c>
      <c r="E28" s="1">
        <v>34</v>
      </c>
      <c r="F28" s="1" t="s">
        <v>384</v>
      </c>
      <c r="G28" s="20"/>
      <c r="H28" s="1" t="s">
        <v>385</v>
      </c>
      <c r="I28" s="1">
        <v>34</v>
      </c>
      <c r="J28" s="55" t="s">
        <v>202</v>
      </c>
      <c r="K28" s="55"/>
      <c r="L28" s="55"/>
      <c r="M28" s="48"/>
    </row>
    <row r="29" spans="1:14" ht="40.5" customHeight="1">
      <c r="A29" s="73">
        <v>25</v>
      </c>
      <c r="B29" s="2" t="s">
        <v>203</v>
      </c>
      <c r="C29" s="1">
        <v>47</v>
      </c>
      <c r="D29" s="1" t="s">
        <v>385</v>
      </c>
      <c r="E29" s="1">
        <v>47</v>
      </c>
      <c r="F29" s="1" t="s">
        <v>384</v>
      </c>
      <c r="G29" s="20"/>
      <c r="H29" s="1" t="s">
        <v>384</v>
      </c>
      <c r="I29" s="1">
        <v>47</v>
      </c>
      <c r="J29" s="55" t="s">
        <v>204</v>
      </c>
      <c r="K29" s="55"/>
      <c r="L29" s="6"/>
      <c r="M29" s="46"/>
    </row>
    <row r="30" spans="1:14" ht="40.200000000000003" customHeight="1">
      <c r="A30" s="1">
        <v>26</v>
      </c>
      <c r="B30" s="2" t="s">
        <v>482</v>
      </c>
      <c r="C30" s="1">
        <v>203</v>
      </c>
      <c r="D30" s="1" t="s">
        <v>385</v>
      </c>
      <c r="E30" s="1">
        <v>203</v>
      </c>
      <c r="F30" s="1" t="s">
        <v>384</v>
      </c>
      <c r="G30" s="20"/>
      <c r="H30" s="1" t="s">
        <v>384</v>
      </c>
      <c r="I30" s="1">
        <v>203</v>
      </c>
      <c r="J30" s="55" t="s">
        <v>381</v>
      </c>
      <c r="K30" s="55"/>
      <c r="L30" s="6"/>
      <c r="M30" s="46"/>
    </row>
    <row r="31" spans="1:14" ht="39.450000000000003" customHeight="1">
      <c r="A31" s="1">
        <v>27</v>
      </c>
      <c r="B31" s="2" t="s">
        <v>483</v>
      </c>
      <c r="C31" s="1">
        <v>60</v>
      </c>
      <c r="D31" s="1" t="s">
        <v>385</v>
      </c>
      <c r="E31" s="1">
        <v>60</v>
      </c>
      <c r="F31" s="1" t="s">
        <v>385</v>
      </c>
      <c r="G31" s="1">
        <v>60</v>
      </c>
      <c r="H31" s="1" t="s">
        <v>384</v>
      </c>
      <c r="I31" s="1">
        <v>120</v>
      </c>
      <c r="J31" s="55" t="s">
        <v>7</v>
      </c>
      <c r="K31" s="55"/>
      <c r="L31" s="6"/>
      <c r="M31" s="46"/>
      <c r="N31" s="3" t="s">
        <v>213</v>
      </c>
    </row>
    <row r="32" spans="1:14" ht="32.700000000000003" customHeight="1">
      <c r="A32" s="73">
        <v>28</v>
      </c>
      <c r="B32" s="2" t="s">
        <v>484</v>
      </c>
      <c r="C32" s="1">
        <v>147</v>
      </c>
      <c r="D32" s="1" t="s">
        <v>385</v>
      </c>
      <c r="E32" s="1">
        <v>147</v>
      </c>
      <c r="F32" s="1" t="s">
        <v>384</v>
      </c>
      <c r="G32" s="20"/>
      <c r="H32" s="1" t="s">
        <v>384</v>
      </c>
      <c r="I32" s="1">
        <v>147</v>
      </c>
      <c r="J32" s="55" t="s">
        <v>395</v>
      </c>
      <c r="K32" s="55"/>
      <c r="L32" s="6"/>
      <c r="M32" s="46"/>
    </row>
    <row r="33" spans="1:14">
      <c r="A33" s="1">
        <v>29</v>
      </c>
      <c r="B33" s="2" t="s">
        <v>214</v>
      </c>
      <c r="C33" s="1">
        <v>10</v>
      </c>
      <c r="D33" s="1" t="s">
        <v>385</v>
      </c>
      <c r="E33" s="1">
        <v>64</v>
      </c>
      <c r="F33" s="1" t="s">
        <v>384</v>
      </c>
      <c r="G33" s="20"/>
      <c r="H33" s="1" t="s">
        <v>385</v>
      </c>
      <c r="I33" s="1">
        <v>64</v>
      </c>
      <c r="J33" s="61" t="s">
        <v>382</v>
      </c>
      <c r="K33" s="61"/>
      <c r="L33" s="38" t="s">
        <v>396</v>
      </c>
      <c r="M33" s="47"/>
      <c r="N33" s="3" t="s">
        <v>397</v>
      </c>
    </row>
    <row r="34" spans="1:14" ht="148.5" customHeight="1">
      <c r="A34" s="1">
        <v>30</v>
      </c>
      <c r="B34" s="2" t="s">
        <v>485</v>
      </c>
      <c r="C34" s="1">
        <v>307</v>
      </c>
      <c r="D34" s="1" t="s">
        <v>385</v>
      </c>
      <c r="E34" s="1">
        <v>307</v>
      </c>
      <c r="F34" s="1" t="s">
        <v>384</v>
      </c>
      <c r="G34" s="20"/>
      <c r="H34" s="1" t="s">
        <v>384</v>
      </c>
      <c r="I34" s="1">
        <v>307</v>
      </c>
      <c r="J34" s="55" t="s">
        <v>215</v>
      </c>
      <c r="K34" s="55"/>
      <c r="L34" s="6" t="s">
        <v>398</v>
      </c>
      <c r="M34" s="46"/>
      <c r="N34" s="3" t="s">
        <v>399</v>
      </c>
    </row>
    <row r="35" spans="1:14" ht="153" customHeight="1">
      <c r="A35" s="73">
        <v>31</v>
      </c>
      <c r="B35" s="2" t="s">
        <v>486</v>
      </c>
      <c r="C35" s="1">
        <v>4</v>
      </c>
      <c r="D35" s="1" t="s">
        <v>385</v>
      </c>
      <c r="E35" s="1">
        <v>4</v>
      </c>
      <c r="F35" s="1" t="s">
        <v>385</v>
      </c>
      <c r="G35" s="1">
        <v>4</v>
      </c>
      <c r="H35" s="1" t="s">
        <v>384</v>
      </c>
      <c r="I35" s="1">
        <v>8</v>
      </c>
      <c r="J35" s="55" t="s">
        <v>12</v>
      </c>
      <c r="K35" s="55"/>
      <c r="L35" s="6" t="s">
        <v>400</v>
      </c>
      <c r="M35" s="46"/>
    </row>
    <row r="36" spans="1:14" ht="45">
      <c r="A36" s="1">
        <v>32</v>
      </c>
      <c r="B36" s="2" t="s">
        <v>216</v>
      </c>
      <c r="C36" s="1">
        <v>499</v>
      </c>
      <c r="D36" s="1" t="s">
        <v>385</v>
      </c>
      <c r="E36" s="1">
        <v>499</v>
      </c>
      <c r="F36" s="1" t="s">
        <v>130</v>
      </c>
      <c r="G36" s="20"/>
      <c r="H36" s="1" t="s">
        <v>384</v>
      </c>
      <c r="I36" s="1">
        <v>499</v>
      </c>
      <c r="J36" s="55" t="s">
        <v>401</v>
      </c>
      <c r="K36" s="55"/>
      <c r="L36" s="6"/>
      <c r="M36" s="46" t="s">
        <v>402</v>
      </c>
    </row>
    <row r="37" spans="1:14" ht="32.700000000000003" customHeight="1">
      <c r="A37" s="1">
        <v>33</v>
      </c>
      <c r="B37" s="2" t="s">
        <v>403</v>
      </c>
      <c r="C37" s="1">
        <v>548</v>
      </c>
      <c r="D37" s="1" t="s">
        <v>385</v>
      </c>
      <c r="E37" s="1">
        <v>548</v>
      </c>
      <c r="F37" s="1" t="s">
        <v>130</v>
      </c>
      <c r="G37" s="20"/>
      <c r="H37" s="1" t="s">
        <v>384</v>
      </c>
      <c r="I37" s="1">
        <v>548</v>
      </c>
      <c r="J37" s="55" t="s">
        <v>380</v>
      </c>
      <c r="K37" s="55"/>
      <c r="L37" s="6"/>
      <c r="M37" s="46" t="s">
        <v>402</v>
      </c>
    </row>
    <row r="38" spans="1:14" ht="32.700000000000003" customHeight="1">
      <c r="A38" s="73">
        <v>34</v>
      </c>
      <c r="B38" s="2" t="s">
        <v>219</v>
      </c>
      <c r="C38" s="1">
        <v>20</v>
      </c>
      <c r="D38" s="1" t="s">
        <v>385</v>
      </c>
      <c r="E38" s="1">
        <v>20</v>
      </c>
      <c r="F38" s="1" t="s">
        <v>385</v>
      </c>
      <c r="G38" s="1">
        <v>20</v>
      </c>
      <c r="H38" s="1" t="s">
        <v>384</v>
      </c>
      <c r="I38" s="1">
        <v>40</v>
      </c>
      <c r="J38" s="55" t="s">
        <v>290</v>
      </c>
      <c r="K38" s="55"/>
      <c r="L38" s="6"/>
      <c r="M38" s="46"/>
    </row>
    <row r="39" spans="1:14" ht="32.700000000000003" customHeight="1">
      <c r="A39" s="1">
        <v>35</v>
      </c>
      <c r="B39" s="2" t="s">
        <v>404</v>
      </c>
      <c r="C39" s="1">
        <v>360</v>
      </c>
      <c r="D39" s="1" t="s">
        <v>385</v>
      </c>
      <c r="E39" s="1">
        <v>360</v>
      </c>
      <c r="F39" s="1" t="s">
        <v>384</v>
      </c>
      <c r="G39" s="20"/>
      <c r="H39" s="1" t="s">
        <v>384</v>
      </c>
      <c r="I39" s="1">
        <v>360</v>
      </c>
      <c r="J39" s="55" t="s">
        <v>405</v>
      </c>
      <c r="K39" s="55"/>
      <c r="L39" s="6" t="s">
        <v>406</v>
      </c>
      <c r="M39" s="46"/>
    </row>
    <row r="40" spans="1:14" ht="75">
      <c r="A40" s="1">
        <v>36</v>
      </c>
      <c r="B40" s="2" t="s">
        <v>482</v>
      </c>
      <c r="C40" s="1">
        <v>1049</v>
      </c>
      <c r="D40" s="1" t="s">
        <v>385</v>
      </c>
      <c r="E40" s="1">
        <v>1049</v>
      </c>
      <c r="F40" s="1" t="s">
        <v>384</v>
      </c>
      <c r="G40" s="20"/>
      <c r="H40" s="1" t="s">
        <v>384</v>
      </c>
      <c r="I40" s="1">
        <v>1049</v>
      </c>
      <c r="J40" s="55" t="s">
        <v>220</v>
      </c>
      <c r="K40" s="55"/>
      <c r="L40" s="6"/>
      <c r="M40" s="46"/>
    </row>
    <row r="41" spans="1:14" ht="45">
      <c r="A41" s="77">
        <v>37</v>
      </c>
      <c r="B41" s="78" t="s">
        <v>221</v>
      </c>
      <c r="C41" s="79">
        <v>15</v>
      </c>
      <c r="D41" s="79" t="s">
        <v>385</v>
      </c>
      <c r="E41" s="79">
        <v>15</v>
      </c>
      <c r="F41" s="79" t="s">
        <v>384</v>
      </c>
      <c r="G41" s="20"/>
      <c r="H41" s="79" t="s">
        <v>384</v>
      </c>
      <c r="I41" s="79">
        <v>15</v>
      </c>
      <c r="J41" s="80" t="s">
        <v>223</v>
      </c>
      <c r="K41" s="55"/>
      <c r="L41" s="6"/>
      <c r="M41" s="46"/>
    </row>
    <row r="42" spans="1:14" ht="45">
      <c r="A42" s="1">
        <v>38</v>
      </c>
      <c r="B42" s="2" t="s">
        <v>222</v>
      </c>
      <c r="C42" s="1">
        <v>45</v>
      </c>
      <c r="D42" s="1" t="s">
        <v>385</v>
      </c>
      <c r="E42" s="1">
        <v>45</v>
      </c>
      <c r="F42" s="1" t="s">
        <v>384</v>
      </c>
      <c r="G42" s="20"/>
      <c r="H42" s="1" t="s">
        <v>384</v>
      </c>
      <c r="I42" s="1">
        <v>45</v>
      </c>
      <c r="J42" s="55" t="s">
        <v>407</v>
      </c>
      <c r="K42" s="55"/>
      <c r="L42" s="6"/>
      <c r="M42" s="46"/>
    </row>
    <row r="43" spans="1:14" ht="80.7" customHeight="1">
      <c r="A43" s="77">
        <v>39</v>
      </c>
      <c r="B43" s="78" t="s">
        <v>487</v>
      </c>
      <c r="C43" s="79">
        <v>74</v>
      </c>
      <c r="D43" s="79" t="s">
        <v>385</v>
      </c>
      <c r="E43" s="79">
        <v>74</v>
      </c>
      <c r="F43" s="79" t="s">
        <v>384</v>
      </c>
      <c r="G43" s="20"/>
      <c r="H43" s="79" t="s">
        <v>384</v>
      </c>
      <c r="I43" s="79">
        <v>74</v>
      </c>
      <c r="J43" s="80" t="s">
        <v>224</v>
      </c>
      <c r="K43" s="55"/>
      <c r="L43" s="6"/>
      <c r="M43" s="46"/>
    </row>
    <row r="44" spans="1:14" ht="105">
      <c r="A44" s="1">
        <v>40</v>
      </c>
      <c r="B44" s="2" t="s">
        <v>238</v>
      </c>
      <c r="C44" s="1">
        <v>46</v>
      </c>
      <c r="D44" s="1" t="s">
        <v>385</v>
      </c>
      <c r="E44" s="1">
        <v>46</v>
      </c>
      <c r="F44" s="1" t="s">
        <v>384</v>
      </c>
      <c r="G44" s="20"/>
      <c r="H44" s="1" t="s">
        <v>384</v>
      </c>
      <c r="I44" s="1">
        <v>46</v>
      </c>
      <c r="J44" s="55" t="s">
        <v>239</v>
      </c>
      <c r="K44" s="55"/>
      <c r="L44" s="6"/>
      <c r="M44" s="46"/>
    </row>
    <row r="45" spans="1:14" ht="43.95" customHeight="1">
      <c r="A45" s="73">
        <v>41</v>
      </c>
      <c r="B45" s="2" t="s">
        <v>272</v>
      </c>
      <c r="C45" s="1">
        <v>324</v>
      </c>
      <c r="D45" s="1" t="s">
        <v>385</v>
      </c>
      <c r="E45" s="1">
        <v>324</v>
      </c>
      <c r="F45" s="1" t="s">
        <v>384</v>
      </c>
      <c r="G45" s="20"/>
      <c r="H45" s="1" t="s">
        <v>384</v>
      </c>
      <c r="I45" s="1">
        <v>324</v>
      </c>
      <c r="J45" s="55" t="s">
        <v>408</v>
      </c>
      <c r="K45" s="55"/>
      <c r="L45" s="6" t="s">
        <v>402</v>
      </c>
      <c r="M45" s="46"/>
    </row>
    <row r="46" spans="1:14" ht="30">
      <c r="A46" s="1">
        <v>42</v>
      </c>
      <c r="B46" s="2" t="s">
        <v>517</v>
      </c>
      <c r="C46" s="1">
        <v>117</v>
      </c>
      <c r="D46" s="1" t="s">
        <v>385</v>
      </c>
      <c r="E46" s="1">
        <v>117</v>
      </c>
      <c r="F46" s="1" t="s">
        <v>384</v>
      </c>
      <c r="G46" s="20"/>
      <c r="H46" s="1" t="s">
        <v>384</v>
      </c>
      <c r="I46" s="1">
        <v>117</v>
      </c>
      <c r="J46" s="55" t="s">
        <v>409</v>
      </c>
      <c r="K46" s="55"/>
      <c r="L46" s="6"/>
      <c r="M46" s="46"/>
    </row>
    <row r="47" spans="1:14" ht="39.450000000000003" customHeight="1">
      <c r="A47" s="73">
        <v>43</v>
      </c>
      <c r="B47" s="2" t="s">
        <v>488</v>
      </c>
      <c r="C47" s="1">
        <v>94</v>
      </c>
      <c r="D47" s="1" t="s">
        <v>385</v>
      </c>
      <c r="E47" s="1">
        <v>94</v>
      </c>
      <c r="F47" s="1" t="s">
        <v>384</v>
      </c>
      <c r="G47" s="20"/>
      <c r="H47" s="1" t="s">
        <v>384</v>
      </c>
      <c r="I47" s="1">
        <v>94</v>
      </c>
      <c r="J47" s="62" t="s">
        <v>410</v>
      </c>
      <c r="K47" s="62"/>
      <c r="L47" s="6"/>
      <c r="M47" s="46"/>
    </row>
    <row r="48" spans="1:14" ht="36.450000000000003" customHeight="1">
      <c r="A48" s="1">
        <v>44</v>
      </c>
      <c r="B48" s="2" t="s">
        <v>489</v>
      </c>
      <c r="C48" s="1">
        <v>91</v>
      </c>
      <c r="D48" s="1" t="s">
        <v>385</v>
      </c>
      <c r="E48" s="1">
        <v>91</v>
      </c>
      <c r="F48" s="1" t="s">
        <v>384</v>
      </c>
      <c r="G48" s="20"/>
      <c r="H48" s="1" t="s">
        <v>384</v>
      </c>
      <c r="I48" s="1">
        <v>91</v>
      </c>
      <c r="J48" s="55" t="s">
        <v>411</v>
      </c>
      <c r="K48" s="55"/>
      <c r="L48" s="6"/>
      <c r="M48" s="46"/>
    </row>
    <row r="49" spans="1:14" ht="45">
      <c r="A49" s="73">
        <v>45</v>
      </c>
      <c r="B49" s="2" t="s">
        <v>490</v>
      </c>
      <c r="C49" s="1">
        <v>10</v>
      </c>
      <c r="D49" s="1" t="s">
        <v>385</v>
      </c>
      <c r="E49" s="1">
        <v>79</v>
      </c>
      <c r="F49" s="1" t="s">
        <v>385</v>
      </c>
      <c r="G49" s="20"/>
      <c r="H49" s="1" t="s">
        <v>385</v>
      </c>
      <c r="I49" s="1">
        <v>79</v>
      </c>
      <c r="J49" s="55" t="s">
        <v>412</v>
      </c>
      <c r="K49" s="55"/>
      <c r="L49" s="6"/>
      <c r="M49" s="46"/>
    </row>
    <row r="50" spans="1:14" ht="86.7" customHeight="1">
      <c r="A50" s="1">
        <v>46</v>
      </c>
      <c r="B50" s="2" t="s">
        <v>274</v>
      </c>
      <c r="C50" s="1">
        <v>35</v>
      </c>
      <c r="D50" s="1" t="s">
        <v>385</v>
      </c>
      <c r="E50" s="1">
        <v>35</v>
      </c>
      <c r="F50" s="1" t="s">
        <v>384</v>
      </c>
      <c r="G50" s="20"/>
      <c r="H50" s="1" t="s">
        <v>384</v>
      </c>
      <c r="I50" s="1">
        <v>35</v>
      </c>
      <c r="J50" s="55" t="s">
        <v>276</v>
      </c>
      <c r="K50" s="55"/>
      <c r="L50" s="6"/>
      <c r="M50" s="46"/>
      <c r="N50" s="3" t="s">
        <v>275</v>
      </c>
    </row>
    <row r="51" spans="1:14" ht="117.45" customHeight="1">
      <c r="A51" s="73">
        <v>47</v>
      </c>
      <c r="B51" s="2" t="s">
        <v>491</v>
      </c>
      <c r="C51" s="1">
        <v>106</v>
      </c>
      <c r="D51" s="1" t="s">
        <v>385</v>
      </c>
      <c r="E51" s="1">
        <v>106</v>
      </c>
      <c r="F51" s="1" t="s">
        <v>384</v>
      </c>
      <c r="G51" s="20"/>
      <c r="H51" s="1" t="s">
        <v>384</v>
      </c>
      <c r="I51" s="1">
        <v>106</v>
      </c>
      <c r="J51" s="55" t="s">
        <v>8</v>
      </c>
      <c r="K51" s="55"/>
      <c r="L51" s="6"/>
      <c r="M51" s="46"/>
    </row>
    <row r="52" spans="1:14" ht="99" customHeight="1">
      <c r="A52" s="1">
        <v>48</v>
      </c>
      <c r="B52" s="2" t="s">
        <v>277</v>
      </c>
      <c r="C52" s="1">
        <v>417</v>
      </c>
      <c r="D52" s="1" t="s">
        <v>385</v>
      </c>
      <c r="E52" s="1">
        <v>417</v>
      </c>
      <c r="F52" s="1" t="s">
        <v>384</v>
      </c>
      <c r="G52" s="20"/>
      <c r="H52" s="1" t="s">
        <v>384</v>
      </c>
      <c r="I52" s="1">
        <v>417</v>
      </c>
      <c r="J52" s="55" t="s">
        <v>13</v>
      </c>
      <c r="K52" s="55"/>
      <c r="L52" s="6"/>
      <c r="M52" s="46"/>
    </row>
    <row r="53" spans="1:14" ht="25.5" customHeight="1">
      <c r="A53" s="73">
        <v>49</v>
      </c>
      <c r="B53" s="50" t="s">
        <v>492</v>
      </c>
      <c r="C53" s="1">
        <v>76</v>
      </c>
      <c r="D53" s="1" t="s">
        <v>385</v>
      </c>
      <c r="E53" s="1">
        <v>176</v>
      </c>
      <c r="F53" s="1" t="s">
        <v>384</v>
      </c>
      <c r="G53" s="20"/>
      <c r="H53" s="1" t="s">
        <v>384</v>
      </c>
      <c r="I53" s="1">
        <v>176</v>
      </c>
      <c r="J53" s="55" t="s">
        <v>278</v>
      </c>
      <c r="K53" s="55"/>
      <c r="L53" s="6"/>
      <c r="M53" s="46"/>
    </row>
    <row r="54" spans="1:14" ht="30">
      <c r="A54" s="1">
        <v>50</v>
      </c>
      <c r="B54" s="2" t="s">
        <v>493</v>
      </c>
      <c r="C54" s="1">
        <v>2</v>
      </c>
      <c r="D54" s="1" t="s">
        <v>385</v>
      </c>
      <c r="E54" s="1">
        <v>13</v>
      </c>
      <c r="F54" s="1" t="s">
        <v>385</v>
      </c>
      <c r="G54" s="1">
        <v>4</v>
      </c>
      <c r="H54" s="1" t="s">
        <v>385</v>
      </c>
      <c r="I54" s="21">
        <v>17</v>
      </c>
      <c r="J54" s="55" t="s">
        <v>9</v>
      </c>
      <c r="K54" s="55"/>
      <c r="L54" s="6"/>
      <c r="M54" s="49"/>
      <c r="N54" s="33" t="s">
        <v>10</v>
      </c>
    </row>
    <row r="55" spans="1:14" ht="41.7" customHeight="1">
      <c r="A55" s="73">
        <v>51</v>
      </c>
      <c r="B55" s="2" t="s">
        <v>279</v>
      </c>
      <c r="C55" s="1">
        <v>98</v>
      </c>
      <c r="D55" s="1" t="s">
        <v>385</v>
      </c>
      <c r="E55" s="1">
        <v>98</v>
      </c>
      <c r="F55" s="1" t="s">
        <v>384</v>
      </c>
      <c r="G55" s="20"/>
      <c r="H55" s="1" t="s">
        <v>384</v>
      </c>
      <c r="I55" s="1">
        <v>98</v>
      </c>
      <c r="J55" s="55" t="s">
        <v>280</v>
      </c>
      <c r="K55" s="55"/>
      <c r="L55" s="6"/>
      <c r="M55" s="46"/>
    </row>
    <row r="56" spans="1:14" ht="40.200000000000003" customHeight="1">
      <c r="A56" s="1">
        <v>52</v>
      </c>
      <c r="B56" s="2" t="s">
        <v>282</v>
      </c>
      <c r="C56" s="1">
        <v>54</v>
      </c>
      <c r="D56" s="1" t="s">
        <v>385</v>
      </c>
      <c r="E56" s="1">
        <v>54</v>
      </c>
      <c r="F56" s="1" t="s">
        <v>384</v>
      </c>
      <c r="G56" s="20"/>
      <c r="H56" s="1" t="s">
        <v>384</v>
      </c>
      <c r="I56" s="1">
        <v>54</v>
      </c>
      <c r="J56" s="55" t="s">
        <v>281</v>
      </c>
      <c r="K56" s="55"/>
      <c r="L56" s="6"/>
      <c r="M56" s="46"/>
    </row>
    <row r="57" spans="1:14" ht="40.200000000000003" customHeight="1">
      <c r="A57" s="73">
        <v>53</v>
      </c>
      <c r="B57" s="2" t="s">
        <v>283</v>
      </c>
      <c r="C57" s="1">
        <v>507</v>
      </c>
      <c r="D57" s="1" t="s">
        <v>385</v>
      </c>
      <c r="E57" s="1">
        <v>507</v>
      </c>
      <c r="F57" s="1" t="s">
        <v>384</v>
      </c>
      <c r="G57" s="20"/>
      <c r="H57" s="1" t="s">
        <v>384</v>
      </c>
      <c r="I57" s="1">
        <v>507</v>
      </c>
      <c r="J57" s="55" t="s">
        <v>288</v>
      </c>
      <c r="K57" s="55"/>
      <c r="L57" s="6"/>
      <c r="M57" s="46"/>
    </row>
    <row r="58" spans="1:14" ht="40.200000000000003" customHeight="1">
      <c r="A58" s="1">
        <v>54</v>
      </c>
      <c r="B58" s="2" t="s">
        <v>284</v>
      </c>
      <c r="C58" s="1">
        <v>112</v>
      </c>
      <c r="D58" s="1" t="s">
        <v>385</v>
      </c>
      <c r="E58" s="1">
        <v>112</v>
      </c>
      <c r="F58" s="1" t="s">
        <v>384</v>
      </c>
      <c r="G58" s="20"/>
      <c r="H58" s="1" t="s">
        <v>384</v>
      </c>
      <c r="I58" s="1">
        <v>112</v>
      </c>
      <c r="J58" s="55" t="s">
        <v>285</v>
      </c>
      <c r="K58" s="55"/>
      <c r="L58" s="6"/>
      <c r="M58" s="46"/>
    </row>
    <row r="59" spans="1:14" ht="28.5" customHeight="1">
      <c r="A59" s="73">
        <v>55</v>
      </c>
      <c r="B59" s="2" t="s">
        <v>494</v>
      </c>
      <c r="C59" s="1">
        <v>256</v>
      </c>
      <c r="D59" s="1" t="s">
        <v>385</v>
      </c>
      <c r="E59" s="1">
        <v>256</v>
      </c>
      <c r="F59" s="1" t="s">
        <v>384</v>
      </c>
      <c r="G59" s="20"/>
      <c r="H59" s="1" t="s">
        <v>384</v>
      </c>
      <c r="I59" s="1">
        <v>256</v>
      </c>
      <c r="J59" s="55" t="s">
        <v>287</v>
      </c>
      <c r="K59" s="55"/>
      <c r="L59" s="6" t="s">
        <v>406</v>
      </c>
      <c r="M59" s="46"/>
    </row>
    <row r="60" spans="1:14" ht="28.5" customHeight="1">
      <c r="A60" s="1">
        <v>56</v>
      </c>
      <c r="B60" s="2" t="s">
        <v>495</v>
      </c>
      <c r="C60" s="1">
        <v>257</v>
      </c>
      <c r="D60" s="1" t="s">
        <v>385</v>
      </c>
      <c r="E60" s="1">
        <v>257</v>
      </c>
      <c r="F60" s="1" t="s">
        <v>384</v>
      </c>
      <c r="G60" s="20"/>
      <c r="H60" s="1" t="s">
        <v>384</v>
      </c>
      <c r="I60" s="1">
        <v>257</v>
      </c>
      <c r="J60" s="55" t="s">
        <v>289</v>
      </c>
      <c r="K60" s="55"/>
      <c r="L60" s="6"/>
      <c r="M60" s="46"/>
    </row>
    <row r="61" spans="1:14" ht="28.5" customHeight="1">
      <c r="A61" s="73">
        <v>57</v>
      </c>
      <c r="B61" s="2" t="s">
        <v>496</v>
      </c>
      <c r="C61" s="1">
        <v>702</v>
      </c>
      <c r="D61" s="1" t="s">
        <v>385</v>
      </c>
      <c r="E61" s="1">
        <v>702</v>
      </c>
      <c r="F61" s="1" t="s">
        <v>384</v>
      </c>
      <c r="G61" s="20"/>
      <c r="H61" s="1" t="s">
        <v>384</v>
      </c>
      <c r="I61" s="1">
        <v>702</v>
      </c>
      <c r="J61" s="55" t="s">
        <v>430</v>
      </c>
      <c r="K61" s="55"/>
      <c r="L61" s="6"/>
      <c r="M61" s="46"/>
    </row>
    <row r="62" spans="1:14" ht="28.5" customHeight="1">
      <c r="A62" s="1">
        <v>58</v>
      </c>
      <c r="B62" s="2" t="s">
        <v>291</v>
      </c>
      <c r="C62" s="1">
        <v>16</v>
      </c>
      <c r="D62" s="1" t="s">
        <v>385</v>
      </c>
      <c r="E62" s="1">
        <v>16</v>
      </c>
      <c r="F62" s="1" t="s">
        <v>384</v>
      </c>
      <c r="G62" s="20"/>
      <c r="H62" s="1" t="s">
        <v>384</v>
      </c>
      <c r="I62" s="1">
        <v>16</v>
      </c>
      <c r="J62" s="55" t="s">
        <v>429</v>
      </c>
      <c r="K62" s="55"/>
      <c r="L62" s="6"/>
      <c r="M62" s="46"/>
    </row>
    <row r="63" spans="1:14" ht="28.5" customHeight="1">
      <c r="A63" s="73">
        <v>59</v>
      </c>
      <c r="B63" s="2" t="s">
        <v>292</v>
      </c>
      <c r="C63" s="1">
        <v>80</v>
      </c>
      <c r="D63" s="1" t="s">
        <v>385</v>
      </c>
      <c r="E63" s="1">
        <v>80</v>
      </c>
      <c r="F63" s="1" t="s">
        <v>384</v>
      </c>
      <c r="G63" s="20"/>
      <c r="H63" s="1" t="s">
        <v>384</v>
      </c>
      <c r="I63" s="1">
        <v>80</v>
      </c>
      <c r="J63" s="62" t="s">
        <v>431</v>
      </c>
      <c r="K63" s="62"/>
      <c r="L63" s="6" t="s">
        <v>432</v>
      </c>
      <c r="M63" s="46"/>
    </row>
    <row r="64" spans="1:14" ht="28.5" customHeight="1">
      <c r="A64" s="1">
        <v>60</v>
      </c>
      <c r="B64" s="2" t="s">
        <v>299</v>
      </c>
      <c r="C64" s="1">
        <v>26</v>
      </c>
      <c r="D64" s="1" t="s">
        <v>385</v>
      </c>
      <c r="E64" s="1">
        <v>62</v>
      </c>
      <c r="F64" s="1" t="s">
        <v>384</v>
      </c>
      <c r="G64" s="20"/>
      <c r="H64" s="1" t="s">
        <v>385</v>
      </c>
      <c r="I64" s="1">
        <v>62</v>
      </c>
      <c r="J64" s="55" t="s">
        <v>290</v>
      </c>
      <c r="K64" s="55"/>
      <c r="L64" s="6" t="s">
        <v>432</v>
      </c>
      <c r="M64" s="46"/>
    </row>
    <row r="65" spans="1:13" ht="30">
      <c r="A65" s="73">
        <v>61</v>
      </c>
      <c r="B65" s="2" t="s">
        <v>300</v>
      </c>
      <c r="C65" s="1">
        <v>51</v>
      </c>
      <c r="D65" s="1" t="s">
        <v>385</v>
      </c>
      <c r="E65" s="1">
        <v>51</v>
      </c>
      <c r="F65" s="1" t="s">
        <v>384</v>
      </c>
      <c r="G65" s="20"/>
      <c r="H65" s="1" t="s">
        <v>384</v>
      </c>
      <c r="I65" s="1">
        <v>51</v>
      </c>
      <c r="J65" s="55" t="s">
        <v>433</v>
      </c>
      <c r="K65" s="55"/>
      <c r="L65" s="6"/>
      <c r="M65" s="46"/>
    </row>
    <row r="66" spans="1:13" ht="25.5" customHeight="1">
      <c r="A66" s="1">
        <v>62</v>
      </c>
      <c r="B66" s="2" t="s">
        <v>497</v>
      </c>
      <c r="C66" s="1">
        <v>205</v>
      </c>
      <c r="D66" s="1" t="s">
        <v>385</v>
      </c>
      <c r="E66" s="1">
        <v>205</v>
      </c>
      <c r="F66" s="1" t="s">
        <v>384</v>
      </c>
      <c r="G66" s="20"/>
      <c r="H66" s="1" t="s">
        <v>384</v>
      </c>
      <c r="I66" s="1">
        <v>205</v>
      </c>
      <c r="J66" s="55" t="s">
        <v>312</v>
      </c>
      <c r="K66" s="55"/>
      <c r="L66" s="6"/>
      <c r="M66" s="46"/>
    </row>
    <row r="67" spans="1:13" ht="37.5" customHeight="1">
      <c r="A67" s="73">
        <v>63</v>
      </c>
      <c r="B67" s="2" t="s">
        <v>313</v>
      </c>
      <c r="C67" s="1">
        <v>185</v>
      </c>
      <c r="D67" s="1" t="s">
        <v>385</v>
      </c>
      <c r="E67" s="1">
        <v>185</v>
      </c>
      <c r="F67" s="1" t="s">
        <v>384</v>
      </c>
      <c r="G67" s="20"/>
      <c r="H67" s="1" t="s">
        <v>384</v>
      </c>
      <c r="I67" s="1">
        <v>185</v>
      </c>
      <c r="J67" s="55" t="s">
        <v>314</v>
      </c>
      <c r="K67" s="55"/>
      <c r="L67" s="6"/>
      <c r="M67" s="46"/>
    </row>
    <row r="68" spans="1:13" ht="37.950000000000003" customHeight="1">
      <c r="A68" s="1">
        <v>64</v>
      </c>
      <c r="B68" s="2" t="s">
        <v>498</v>
      </c>
      <c r="C68" s="1">
        <v>27</v>
      </c>
      <c r="D68" s="1" t="s">
        <v>385</v>
      </c>
      <c r="E68" s="1">
        <v>27</v>
      </c>
      <c r="F68" s="1" t="s">
        <v>384</v>
      </c>
      <c r="G68" s="20"/>
      <c r="H68" s="1" t="s">
        <v>384</v>
      </c>
      <c r="I68" s="1">
        <v>27</v>
      </c>
      <c r="J68" s="55" t="s">
        <v>315</v>
      </c>
      <c r="K68" s="55"/>
      <c r="L68" s="6"/>
      <c r="M68" s="46"/>
    </row>
    <row r="69" spans="1:13" ht="26.7" customHeight="1">
      <c r="A69" s="73">
        <v>65</v>
      </c>
      <c r="B69" s="2" t="s">
        <v>499</v>
      </c>
      <c r="C69" s="1">
        <v>26</v>
      </c>
      <c r="D69" s="1" t="s">
        <v>385</v>
      </c>
      <c r="E69" s="1">
        <v>26</v>
      </c>
      <c r="F69" s="1" t="s">
        <v>384</v>
      </c>
      <c r="G69" s="20"/>
      <c r="H69" s="1" t="s">
        <v>384</v>
      </c>
      <c r="I69" s="1">
        <v>26</v>
      </c>
      <c r="J69" s="55" t="s">
        <v>373</v>
      </c>
      <c r="K69" s="55"/>
      <c r="L69" s="6"/>
      <c r="M69" s="46"/>
    </row>
    <row r="70" spans="1:13" ht="37.950000000000003" customHeight="1">
      <c r="A70" s="1">
        <v>66</v>
      </c>
      <c r="B70" s="2" t="s">
        <v>500</v>
      </c>
      <c r="C70" s="1">
        <v>96</v>
      </c>
      <c r="D70" s="1" t="s">
        <v>385</v>
      </c>
      <c r="E70" s="1">
        <v>96</v>
      </c>
      <c r="F70" s="1" t="s">
        <v>384</v>
      </c>
      <c r="G70" s="20"/>
      <c r="H70" s="1" t="s">
        <v>384</v>
      </c>
      <c r="I70" s="1">
        <v>96</v>
      </c>
      <c r="J70" s="55" t="s">
        <v>346</v>
      </c>
      <c r="K70" s="55"/>
      <c r="L70" s="6"/>
      <c r="M70" s="46"/>
    </row>
    <row r="71" spans="1:13" ht="28.5" customHeight="1">
      <c r="A71" s="73">
        <v>67</v>
      </c>
      <c r="B71" s="2" t="s">
        <v>347</v>
      </c>
      <c r="C71" s="1">
        <v>73</v>
      </c>
      <c r="D71" s="1" t="s">
        <v>385</v>
      </c>
      <c r="E71" s="1">
        <v>73</v>
      </c>
      <c r="F71" s="1" t="s">
        <v>384</v>
      </c>
      <c r="G71" s="20"/>
      <c r="H71" s="1" t="s">
        <v>384</v>
      </c>
      <c r="I71" s="1">
        <v>73</v>
      </c>
      <c r="J71" s="55" t="s">
        <v>348</v>
      </c>
      <c r="K71" s="55"/>
      <c r="L71" s="6"/>
      <c r="M71" s="46"/>
    </row>
    <row r="72" spans="1:13" ht="37.950000000000003" customHeight="1">
      <c r="A72" s="1">
        <v>68</v>
      </c>
      <c r="B72" s="2" t="s">
        <v>434</v>
      </c>
      <c r="C72" s="1">
        <v>126</v>
      </c>
      <c r="D72" s="1" t="s">
        <v>385</v>
      </c>
      <c r="E72" s="1">
        <v>126</v>
      </c>
      <c r="F72" s="1" t="s">
        <v>384</v>
      </c>
      <c r="G72" s="20"/>
      <c r="H72" s="1" t="s">
        <v>384</v>
      </c>
      <c r="I72" s="1">
        <v>126</v>
      </c>
      <c r="J72" s="55" t="s">
        <v>435</v>
      </c>
      <c r="K72" s="55"/>
      <c r="L72" s="6"/>
      <c r="M72" s="46"/>
    </row>
    <row r="73" spans="1:13" ht="40.200000000000003" customHeight="1">
      <c r="A73" s="73">
        <v>69</v>
      </c>
      <c r="B73" s="2" t="s">
        <v>349</v>
      </c>
      <c r="C73" s="1">
        <v>50</v>
      </c>
      <c r="D73" s="1" t="s">
        <v>385</v>
      </c>
      <c r="E73" s="1">
        <v>50</v>
      </c>
      <c r="F73" s="1" t="s">
        <v>384</v>
      </c>
      <c r="G73" s="20"/>
      <c r="H73" s="1" t="s">
        <v>384</v>
      </c>
      <c r="I73" s="1">
        <v>50</v>
      </c>
      <c r="J73" s="55" t="s">
        <v>350</v>
      </c>
      <c r="K73" s="55"/>
      <c r="L73" s="6"/>
      <c r="M73" s="46"/>
    </row>
    <row r="74" spans="1:13" ht="28.2" customHeight="1">
      <c r="A74" s="1">
        <v>70</v>
      </c>
      <c r="B74" s="2" t="s">
        <v>352</v>
      </c>
      <c r="C74" s="1">
        <v>56</v>
      </c>
      <c r="D74" s="1" t="s">
        <v>385</v>
      </c>
      <c r="E74" s="1">
        <v>56</v>
      </c>
      <c r="F74" s="1" t="s">
        <v>384</v>
      </c>
      <c r="G74" s="20"/>
      <c r="H74" s="1" t="s">
        <v>384</v>
      </c>
      <c r="I74" s="1">
        <v>56</v>
      </c>
      <c r="J74" s="55" t="s">
        <v>353</v>
      </c>
      <c r="K74" s="55"/>
      <c r="L74" s="6"/>
      <c r="M74" s="46"/>
    </row>
    <row r="75" spans="1:13" ht="28.2" customHeight="1">
      <c r="A75" s="73">
        <v>71</v>
      </c>
      <c r="B75" s="2" t="s">
        <v>513</v>
      </c>
      <c r="C75" s="1">
        <v>42</v>
      </c>
      <c r="D75" s="1" t="s">
        <v>385</v>
      </c>
      <c r="E75" s="1">
        <v>42</v>
      </c>
      <c r="F75" s="1" t="s">
        <v>384</v>
      </c>
      <c r="G75" s="20"/>
      <c r="H75" s="1" t="s">
        <v>384</v>
      </c>
      <c r="I75" s="1">
        <v>42</v>
      </c>
      <c r="J75" s="55" t="s">
        <v>436</v>
      </c>
      <c r="K75" s="55"/>
      <c r="L75" s="6"/>
      <c r="M75" s="46"/>
    </row>
    <row r="76" spans="1:13" ht="28.2" customHeight="1">
      <c r="A76" s="1">
        <v>72</v>
      </c>
      <c r="B76" s="2" t="s">
        <v>355</v>
      </c>
      <c r="C76" s="1">
        <v>13</v>
      </c>
      <c r="D76" s="1" t="s">
        <v>385</v>
      </c>
      <c r="E76" s="1">
        <v>13</v>
      </c>
      <c r="F76" s="1" t="s">
        <v>385</v>
      </c>
      <c r="G76" s="1">
        <v>31</v>
      </c>
      <c r="H76" s="1" t="s">
        <v>385</v>
      </c>
      <c r="I76" s="1">
        <v>30</v>
      </c>
      <c r="J76" s="55" t="s">
        <v>356</v>
      </c>
      <c r="K76" s="55"/>
      <c r="L76" s="6"/>
      <c r="M76" s="46"/>
    </row>
    <row r="77" spans="1:13" ht="36.450000000000003" customHeight="1">
      <c r="A77" s="73">
        <v>73</v>
      </c>
      <c r="B77" s="2" t="s">
        <v>357</v>
      </c>
      <c r="C77" s="1">
        <v>20</v>
      </c>
      <c r="D77" s="1" t="s">
        <v>385</v>
      </c>
      <c r="E77" s="1">
        <v>20</v>
      </c>
      <c r="F77" s="1" t="s">
        <v>384</v>
      </c>
      <c r="G77" s="20"/>
      <c r="H77" s="1" t="s">
        <v>384</v>
      </c>
      <c r="I77" s="1">
        <v>20</v>
      </c>
      <c r="J77" s="55" t="s">
        <v>358</v>
      </c>
      <c r="K77" s="55"/>
      <c r="L77" s="6"/>
      <c r="M77" s="46"/>
    </row>
    <row r="78" spans="1:13" ht="28.2" customHeight="1">
      <c r="A78" s="1">
        <v>74</v>
      </c>
      <c r="B78" s="2" t="s">
        <v>364</v>
      </c>
      <c r="C78" s="1">
        <v>8</v>
      </c>
      <c r="D78" s="1" t="s">
        <v>385</v>
      </c>
      <c r="E78" s="1">
        <v>8</v>
      </c>
      <c r="F78" s="1" t="s">
        <v>385</v>
      </c>
      <c r="G78" s="20">
        <v>40</v>
      </c>
      <c r="H78" s="1" t="s">
        <v>385</v>
      </c>
      <c r="I78" s="1">
        <v>48</v>
      </c>
      <c r="J78" s="55" t="s">
        <v>356</v>
      </c>
      <c r="K78" s="55"/>
      <c r="L78" s="6" t="s">
        <v>437</v>
      </c>
      <c r="M78" s="46"/>
    </row>
    <row r="79" spans="1:13" ht="28.2" customHeight="1">
      <c r="A79" s="73">
        <v>75</v>
      </c>
      <c r="B79" s="2" t="s">
        <v>501</v>
      </c>
      <c r="C79" s="1">
        <v>39</v>
      </c>
      <c r="D79" s="1" t="s">
        <v>385</v>
      </c>
      <c r="E79" s="1">
        <v>39</v>
      </c>
      <c r="F79" s="1" t="s">
        <v>384</v>
      </c>
      <c r="G79" s="20"/>
      <c r="H79" s="1" t="s">
        <v>384</v>
      </c>
      <c r="I79" s="1">
        <v>39</v>
      </c>
      <c r="J79" s="55" t="s">
        <v>359</v>
      </c>
      <c r="K79" s="55"/>
      <c r="L79" s="6" t="s">
        <v>432</v>
      </c>
      <c r="M79" s="46"/>
    </row>
    <row r="80" spans="1:13" ht="28.2" customHeight="1">
      <c r="A80" s="1">
        <v>76</v>
      </c>
      <c r="B80" s="2" t="s">
        <v>502</v>
      </c>
      <c r="C80" s="1">
        <v>50</v>
      </c>
      <c r="D80" s="1" t="s">
        <v>385</v>
      </c>
      <c r="E80" s="1">
        <v>50</v>
      </c>
      <c r="F80" s="1" t="s">
        <v>384</v>
      </c>
      <c r="G80" s="20"/>
      <c r="H80" s="1" t="s">
        <v>384</v>
      </c>
      <c r="I80" s="1">
        <v>50</v>
      </c>
      <c r="J80" s="55" t="s">
        <v>290</v>
      </c>
      <c r="K80" s="55"/>
      <c r="L80" s="6"/>
      <c r="M80" s="46"/>
    </row>
    <row r="81" spans="1:13" ht="28.2" customHeight="1">
      <c r="A81" s="73">
        <v>77</v>
      </c>
      <c r="B81" s="2" t="s">
        <v>503</v>
      </c>
      <c r="C81" s="1">
        <v>96</v>
      </c>
      <c r="D81" s="1" t="s">
        <v>385</v>
      </c>
      <c r="E81" s="1">
        <v>96</v>
      </c>
      <c r="F81" s="1" t="s">
        <v>384</v>
      </c>
      <c r="G81" s="20"/>
      <c r="H81" s="1" t="s">
        <v>384</v>
      </c>
      <c r="I81" s="1">
        <v>96</v>
      </c>
      <c r="J81" s="61" t="s">
        <v>363</v>
      </c>
      <c r="K81" s="61"/>
      <c r="L81" s="38"/>
      <c r="M81" s="47"/>
    </row>
    <row r="82" spans="1:13" ht="28.2" customHeight="1">
      <c r="A82" s="1">
        <v>78</v>
      </c>
      <c r="B82" s="2" t="s">
        <v>364</v>
      </c>
      <c r="C82" s="1">
        <v>82</v>
      </c>
      <c r="D82" s="1" t="s">
        <v>385</v>
      </c>
      <c r="E82" s="1">
        <v>82</v>
      </c>
      <c r="F82" s="1" t="s">
        <v>384</v>
      </c>
      <c r="G82" s="20"/>
      <c r="H82" s="1" t="s">
        <v>385</v>
      </c>
      <c r="I82" s="1">
        <v>82</v>
      </c>
      <c r="J82" s="55" t="s">
        <v>359</v>
      </c>
      <c r="K82" s="55"/>
      <c r="L82" s="6"/>
      <c r="M82" s="46"/>
    </row>
    <row r="83" spans="1:13" ht="28.2" customHeight="1">
      <c r="A83" s="73">
        <v>79</v>
      </c>
      <c r="B83" s="2" t="s">
        <v>504</v>
      </c>
      <c r="C83" s="1">
        <v>187</v>
      </c>
      <c r="D83" s="1" t="s">
        <v>385</v>
      </c>
      <c r="E83" s="1">
        <v>187</v>
      </c>
      <c r="F83" s="1" t="s">
        <v>384</v>
      </c>
      <c r="G83" s="20"/>
      <c r="H83" s="1" t="s">
        <v>384</v>
      </c>
      <c r="I83" s="1">
        <v>187</v>
      </c>
      <c r="J83" s="55" t="s">
        <v>439</v>
      </c>
      <c r="K83" s="55"/>
      <c r="L83" s="6" t="s">
        <v>438</v>
      </c>
      <c r="M83" s="46"/>
    </row>
    <row r="84" spans="1:13" ht="28.2" customHeight="1">
      <c r="A84" s="1">
        <v>80</v>
      </c>
      <c r="B84" s="2" t="s">
        <v>365</v>
      </c>
      <c r="C84" s="1">
        <v>109</v>
      </c>
      <c r="D84" s="1" t="s">
        <v>385</v>
      </c>
      <c r="E84" s="1">
        <v>109</v>
      </c>
      <c r="F84" s="1" t="s">
        <v>384</v>
      </c>
      <c r="G84" s="20"/>
      <c r="H84" s="1" t="s">
        <v>384</v>
      </c>
      <c r="I84" s="1">
        <v>109</v>
      </c>
      <c r="J84" s="55" t="s">
        <v>366</v>
      </c>
      <c r="K84" s="55"/>
      <c r="L84" s="6" t="s">
        <v>432</v>
      </c>
      <c r="M84" s="46"/>
    </row>
    <row r="85" spans="1:13" ht="28.2" customHeight="1">
      <c r="A85" s="73">
        <v>81</v>
      </c>
      <c r="B85" s="2" t="s">
        <v>441</v>
      </c>
      <c r="C85" s="1">
        <v>114</v>
      </c>
      <c r="D85" s="1" t="s">
        <v>385</v>
      </c>
      <c r="E85" s="1">
        <v>114</v>
      </c>
      <c r="F85" s="1" t="s">
        <v>384</v>
      </c>
      <c r="G85" s="20"/>
      <c r="H85" s="1" t="s">
        <v>384</v>
      </c>
      <c r="I85" s="1">
        <v>114</v>
      </c>
      <c r="J85" s="55" t="s">
        <v>359</v>
      </c>
      <c r="K85" s="55"/>
      <c r="L85" s="6" t="s">
        <v>432</v>
      </c>
      <c r="M85" s="46"/>
    </row>
    <row r="86" spans="1:13" ht="37.950000000000003" customHeight="1">
      <c r="A86" s="1">
        <v>82</v>
      </c>
      <c r="B86" s="2" t="s">
        <v>505</v>
      </c>
      <c r="C86" s="1">
        <v>240</v>
      </c>
      <c r="D86" s="1" t="s">
        <v>385</v>
      </c>
      <c r="E86" s="1">
        <v>240</v>
      </c>
      <c r="F86" s="1" t="s">
        <v>384</v>
      </c>
      <c r="G86" s="20"/>
      <c r="H86" s="1" t="s">
        <v>384</v>
      </c>
      <c r="I86" s="1">
        <v>240</v>
      </c>
      <c r="J86" s="55" t="s">
        <v>443</v>
      </c>
      <c r="K86" s="55"/>
      <c r="L86" s="6" t="s">
        <v>442</v>
      </c>
      <c r="M86" s="46"/>
    </row>
    <row r="87" spans="1:13" ht="34.950000000000003" customHeight="1">
      <c r="A87" s="73">
        <v>83</v>
      </c>
      <c r="B87" s="2" t="s">
        <v>367</v>
      </c>
      <c r="C87" s="1">
        <v>72</v>
      </c>
      <c r="D87" s="1" t="s">
        <v>385</v>
      </c>
      <c r="E87" s="1">
        <v>72</v>
      </c>
      <c r="F87" s="1" t="s">
        <v>384</v>
      </c>
      <c r="G87" s="20"/>
      <c r="H87" s="1" t="s">
        <v>384</v>
      </c>
      <c r="I87" s="1">
        <v>72</v>
      </c>
      <c r="J87" s="55" t="s">
        <v>368</v>
      </c>
      <c r="K87" s="55"/>
      <c r="L87" s="6" t="s">
        <v>447</v>
      </c>
      <c r="M87" s="46"/>
    </row>
    <row r="88" spans="1:13" ht="36.450000000000003" customHeight="1">
      <c r="A88" s="1">
        <v>84</v>
      </c>
      <c r="B88" s="2" t="s">
        <v>444</v>
      </c>
      <c r="C88" s="1">
        <v>113</v>
      </c>
      <c r="D88" s="1" t="s">
        <v>385</v>
      </c>
      <c r="E88" s="1">
        <v>113</v>
      </c>
      <c r="F88" s="1" t="s">
        <v>384</v>
      </c>
      <c r="G88" s="20"/>
      <c r="H88" s="1" t="s">
        <v>384</v>
      </c>
      <c r="I88" s="1">
        <v>113</v>
      </c>
      <c r="J88" s="55" t="s">
        <v>445</v>
      </c>
      <c r="K88" s="55"/>
      <c r="L88" s="6" t="s">
        <v>446</v>
      </c>
      <c r="M88" s="46"/>
    </row>
    <row r="89" spans="1:13" ht="37.950000000000003" customHeight="1">
      <c r="A89" s="73">
        <v>85</v>
      </c>
      <c r="B89" s="2" t="s">
        <v>370</v>
      </c>
      <c r="C89" s="1">
        <v>47</v>
      </c>
      <c r="D89" s="1" t="s">
        <v>385</v>
      </c>
      <c r="E89" s="1">
        <v>47</v>
      </c>
      <c r="F89" s="1" t="s">
        <v>384</v>
      </c>
      <c r="G89" s="20"/>
      <c r="H89" s="1" t="s">
        <v>384</v>
      </c>
      <c r="I89" s="1">
        <v>47</v>
      </c>
      <c r="J89" s="55" t="s">
        <v>448</v>
      </c>
      <c r="K89" s="55"/>
      <c r="L89" s="6" t="s">
        <v>449</v>
      </c>
      <c r="M89" s="46"/>
    </row>
    <row r="90" spans="1:13" ht="28.2" customHeight="1">
      <c r="A90" s="1">
        <v>86</v>
      </c>
      <c r="B90" s="2" t="s">
        <v>371</v>
      </c>
      <c r="C90" s="1">
        <v>60</v>
      </c>
      <c r="D90" s="1" t="s">
        <v>385</v>
      </c>
      <c r="E90" s="1">
        <v>60</v>
      </c>
      <c r="F90" s="1" t="s">
        <v>384</v>
      </c>
      <c r="G90" s="20"/>
      <c r="H90" s="1" t="s">
        <v>384</v>
      </c>
      <c r="I90" s="1">
        <v>60</v>
      </c>
      <c r="J90" s="55" t="s">
        <v>372</v>
      </c>
      <c r="K90" s="55"/>
      <c r="L90" s="6" t="s">
        <v>450</v>
      </c>
      <c r="M90" s="46"/>
    </row>
    <row r="91" spans="1:13" ht="28.2" customHeight="1">
      <c r="A91" s="73">
        <v>87</v>
      </c>
      <c r="B91" s="2" t="s">
        <v>506</v>
      </c>
      <c r="C91" s="1">
        <v>61</v>
      </c>
      <c r="D91" s="1" t="s">
        <v>385</v>
      </c>
      <c r="E91" s="1">
        <v>61</v>
      </c>
      <c r="F91" s="1" t="s">
        <v>384</v>
      </c>
      <c r="G91" s="20"/>
      <c r="H91" s="1" t="s">
        <v>384</v>
      </c>
      <c r="I91" s="1">
        <v>61</v>
      </c>
      <c r="J91" s="55" t="s">
        <v>373</v>
      </c>
      <c r="K91" s="55"/>
      <c r="L91" s="6" t="s">
        <v>437</v>
      </c>
      <c r="M91" s="46"/>
    </row>
    <row r="92" spans="1:13" ht="38.700000000000003" customHeight="1">
      <c r="A92" s="1">
        <v>88</v>
      </c>
      <c r="B92" s="2" t="s">
        <v>507</v>
      </c>
      <c r="C92" s="1">
        <v>46</v>
      </c>
      <c r="D92" s="1" t="s">
        <v>385</v>
      </c>
      <c r="E92" s="1">
        <v>15</v>
      </c>
      <c r="F92" s="1" t="s">
        <v>385</v>
      </c>
      <c r="G92" s="1">
        <v>46</v>
      </c>
      <c r="H92" s="1" t="s">
        <v>384</v>
      </c>
      <c r="I92" s="1">
        <v>61</v>
      </c>
      <c r="J92" s="55" t="s">
        <v>14</v>
      </c>
      <c r="K92" s="55"/>
      <c r="L92" s="6" t="s">
        <v>437</v>
      </c>
      <c r="M92" s="46"/>
    </row>
    <row r="93" spans="1:13" ht="28.2" customHeight="1">
      <c r="A93" s="73">
        <v>89</v>
      </c>
      <c r="B93" s="2" t="s">
        <v>451</v>
      </c>
      <c r="C93" s="1">
        <v>40</v>
      </c>
      <c r="D93" s="1" t="s">
        <v>385</v>
      </c>
      <c r="E93" s="1">
        <v>40</v>
      </c>
      <c r="F93" s="1" t="s">
        <v>384</v>
      </c>
      <c r="G93" s="20"/>
      <c r="H93" s="1" t="s">
        <v>384</v>
      </c>
      <c r="I93" s="1">
        <v>40</v>
      </c>
      <c r="J93" s="55" t="s">
        <v>359</v>
      </c>
      <c r="K93" s="55"/>
      <c r="L93" s="6" t="s">
        <v>432</v>
      </c>
      <c r="M93" s="46"/>
    </row>
    <row r="94" spans="1:13" ht="36.450000000000003" customHeight="1">
      <c r="A94" s="1">
        <v>90</v>
      </c>
      <c r="B94" s="2" t="s">
        <v>508</v>
      </c>
      <c r="C94" s="1">
        <v>19</v>
      </c>
      <c r="D94" s="1" t="s">
        <v>385</v>
      </c>
      <c r="E94" s="1">
        <v>19</v>
      </c>
      <c r="F94" s="1" t="s">
        <v>385</v>
      </c>
      <c r="G94" s="1">
        <v>32</v>
      </c>
      <c r="H94" s="1" t="s">
        <v>385</v>
      </c>
      <c r="I94" s="1">
        <v>51</v>
      </c>
      <c r="J94" s="55" t="s">
        <v>453</v>
      </c>
      <c r="K94" s="55"/>
      <c r="L94" s="6" t="s">
        <v>432</v>
      </c>
      <c r="M94" s="46"/>
    </row>
    <row r="95" spans="1:13" ht="28.95" customHeight="1">
      <c r="A95" s="73">
        <v>91</v>
      </c>
      <c r="B95" s="2" t="s">
        <v>452</v>
      </c>
      <c r="C95" s="1">
        <v>91</v>
      </c>
      <c r="D95" s="1" t="s">
        <v>385</v>
      </c>
      <c r="E95" s="1">
        <v>91</v>
      </c>
      <c r="F95" s="1" t="s">
        <v>384</v>
      </c>
      <c r="G95" s="20"/>
      <c r="H95" s="1" t="s">
        <v>384</v>
      </c>
      <c r="I95" s="1">
        <v>91</v>
      </c>
      <c r="J95" s="55" t="s">
        <v>454</v>
      </c>
      <c r="K95" s="55"/>
      <c r="L95" s="6" t="s">
        <v>432</v>
      </c>
      <c r="M95" s="46"/>
    </row>
    <row r="96" spans="1:13" ht="28.2" customHeight="1">
      <c r="A96" s="1">
        <v>92</v>
      </c>
      <c r="B96" s="2" t="s">
        <v>509</v>
      </c>
      <c r="C96" s="1">
        <v>173</v>
      </c>
      <c r="D96" s="1" t="s">
        <v>385</v>
      </c>
      <c r="E96" s="1">
        <v>173</v>
      </c>
      <c r="F96" s="1" t="s">
        <v>384</v>
      </c>
      <c r="G96" s="20"/>
      <c r="H96" s="1" t="s">
        <v>384</v>
      </c>
      <c r="I96" s="1">
        <v>173</v>
      </c>
      <c r="J96" s="55" t="s">
        <v>455</v>
      </c>
      <c r="K96" s="55"/>
      <c r="L96" s="6" t="s">
        <v>456</v>
      </c>
      <c r="M96" s="46"/>
    </row>
    <row r="97" spans="1:13" ht="28.2" customHeight="1">
      <c r="A97" s="73">
        <v>93</v>
      </c>
      <c r="B97" s="2" t="s">
        <v>510</v>
      </c>
      <c r="C97" s="1">
        <v>5</v>
      </c>
      <c r="D97" s="1" t="s">
        <v>385</v>
      </c>
      <c r="E97" s="1">
        <v>5</v>
      </c>
      <c r="F97" s="1" t="s">
        <v>385</v>
      </c>
      <c r="G97" s="20">
        <v>5</v>
      </c>
      <c r="H97" s="1" t="s">
        <v>384</v>
      </c>
      <c r="I97" s="1">
        <v>10</v>
      </c>
      <c r="J97" s="55" t="s">
        <v>459</v>
      </c>
      <c r="K97" s="55"/>
      <c r="L97" s="6" t="s">
        <v>460</v>
      </c>
      <c r="M97" s="46"/>
    </row>
    <row r="98" spans="1:13">
      <c r="C98" s="31">
        <f>SUM(C3:C97)</f>
        <v>14654</v>
      </c>
      <c r="E98" s="31">
        <f>SUM(E3:E97)</f>
        <v>14179</v>
      </c>
      <c r="G98" s="31">
        <f>SUM(G3:G97)</f>
        <v>1048</v>
      </c>
    </row>
  </sheetData>
  <autoFilter ref="A2:N98" xr:uid="{647AC281-7069-4491-94DE-1B7761B50297}"/>
  <mergeCells count="11">
    <mergeCell ref="L1:L2"/>
    <mergeCell ref="J24:J25"/>
    <mergeCell ref="A1:A2"/>
    <mergeCell ref="J1:J2"/>
    <mergeCell ref="B1:B2"/>
    <mergeCell ref="D1:E1"/>
    <mergeCell ref="F1:G1"/>
    <mergeCell ref="H1:I1"/>
    <mergeCell ref="A15:A16"/>
    <mergeCell ref="B15:B16"/>
    <mergeCell ref="J15:J16"/>
  </mergeCells>
  <conditionalFormatting sqref="B17:B23">
    <cfRule type="duplicateValues" dxfId="1" priority="1"/>
  </conditionalFormatting>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69825-A233-42E5-89CC-ED3DF2D8C169}">
  <dimension ref="E1:L95"/>
  <sheetViews>
    <sheetView topLeftCell="A16" workbookViewId="0">
      <selection activeCell="L24" sqref="L24"/>
    </sheetView>
  </sheetViews>
  <sheetFormatPr defaultRowHeight="14.4"/>
  <sheetData>
    <row r="1" spans="5:12" ht="15">
      <c r="E1" s="1">
        <v>189</v>
      </c>
      <c r="G1">
        <v>189</v>
      </c>
      <c r="I1">
        <f>E1-G1</f>
        <v>0</v>
      </c>
    </row>
    <row r="2" spans="5:12" ht="15">
      <c r="E2" s="1">
        <v>454</v>
      </c>
      <c r="G2">
        <v>454</v>
      </c>
      <c r="I2">
        <f t="shared" ref="I2:I65" si="0">E2-G2</f>
        <v>0</v>
      </c>
    </row>
    <row r="3" spans="5:12" ht="15">
      <c r="E3" s="1">
        <v>31</v>
      </c>
      <c r="G3">
        <v>31</v>
      </c>
      <c r="I3">
        <f t="shared" si="0"/>
        <v>0</v>
      </c>
    </row>
    <row r="4" spans="5:12" ht="15">
      <c r="E4" s="1">
        <v>103</v>
      </c>
      <c r="G4">
        <v>103</v>
      </c>
      <c r="I4">
        <f t="shared" si="0"/>
        <v>0</v>
      </c>
    </row>
    <row r="5" spans="5:12" ht="15">
      <c r="E5" s="1">
        <v>152</v>
      </c>
      <c r="G5">
        <v>152</v>
      </c>
      <c r="I5">
        <f t="shared" si="0"/>
        <v>0</v>
      </c>
    </row>
    <row r="6" spans="5:12" ht="15">
      <c r="E6" s="1">
        <v>330</v>
      </c>
      <c r="G6">
        <v>330</v>
      </c>
      <c r="I6">
        <f t="shared" si="0"/>
        <v>0</v>
      </c>
    </row>
    <row r="7" spans="5:12" ht="15">
      <c r="E7" s="1">
        <v>103</v>
      </c>
      <c r="G7">
        <v>103</v>
      </c>
      <c r="I7">
        <f t="shared" si="0"/>
        <v>0</v>
      </c>
    </row>
    <row r="8" spans="5:12" ht="15">
      <c r="E8" s="1">
        <v>109</v>
      </c>
      <c r="G8">
        <v>109</v>
      </c>
      <c r="I8">
        <f t="shared" si="0"/>
        <v>0</v>
      </c>
    </row>
    <row r="9" spans="5:12" ht="15">
      <c r="E9" s="1">
        <v>103</v>
      </c>
      <c r="G9">
        <v>103</v>
      </c>
      <c r="I9">
        <f t="shared" si="0"/>
        <v>0</v>
      </c>
    </row>
    <row r="10" spans="5:12" ht="15">
      <c r="E10" s="36">
        <v>174</v>
      </c>
      <c r="G10">
        <v>174</v>
      </c>
      <c r="I10">
        <f t="shared" si="0"/>
        <v>0</v>
      </c>
    </row>
    <row r="11" spans="5:12" ht="15">
      <c r="E11" s="1">
        <v>87</v>
      </c>
      <c r="G11">
        <v>87</v>
      </c>
      <c r="I11">
        <f t="shared" si="0"/>
        <v>0</v>
      </c>
    </row>
    <row r="12" spans="5:12" ht="15">
      <c r="E12" s="1">
        <v>2</v>
      </c>
      <c r="G12">
        <v>2</v>
      </c>
      <c r="I12">
        <f t="shared" si="0"/>
        <v>0</v>
      </c>
    </row>
    <row r="13" spans="5:12" ht="15">
      <c r="E13" s="1">
        <v>100</v>
      </c>
      <c r="G13">
        <v>100</v>
      </c>
      <c r="I13">
        <f t="shared" si="0"/>
        <v>0</v>
      </c>
      <c r="K13">
        <v>50</v>
      </c>
      <c r="L13">
        <v>50</v>
      </c>
    </row>
    <row r="14" spans="5:12" ht="15">
      <c r="E14" s="1">
        <v>100</v>
      </c>
      <c r="G14">
        <v>100</v>
      </c>
      <c r="I14">
        <f t="shared" si="0"/>
        <v>0</v>
      </c>
      <c r="K14">
        <v>32</v>
      </c>
      <c r="L14">
        <v>32</v>
      </c>
    </row>
    <row r="15" spans="5:12" ht="15">
      <c r="E15" s="1">
        <v>473</v>
      </c>
      <c r="G15">
        <v>473</v>
      </c>
      <c r="I15">
        <f t="shared" si="0"/>
        <v>0</v>
      </c>
    </row>
    <row r="16" spans="5:12" ht="15">
      <c r="E16" s="1">
        <v>79</v>
      </c>
      <c r="G16">
        <v>79</v>
      </c>
      <c r="I16">
        <f t="shared" si="0"/>
        <v>0</v>
      </c>
      <c r="K16">
        <v>79</v>
      </c>
      <c r="L16">
        <v>79</v>
      </c>
    </row>
    <row r="17" spans="5:12" ht="15">
      <c r="E17" s="1">
        <v>83</v>
      </c>
      <c r="G17">
        <v>83</v>
      </c>
      <c r="I17">
        <f t="shared" si="0"/>
        <v>0</v>
      </c>
    </row>
    <row r="18" spans="5:12" ht="15">
      <c r="E18" s="1">
        <v>417</v>
      </c>
      <c r="G18">
        <v>417</v>
      </c>
      <c r="I18">
        <f t="shared" si="0"/>
        <v>0</v>
      </c>
    </row>
    <row r="19" spans="5:12" ht="15">
      <c r="E19" s="1">
        <v>4</v>
      </c>
      <c r="G19">
        <v>4</v>
      </c>
      <c r="I19">
        <f t="shared" si="0"/>
        <v>0</v>
      </c>
      <c r="K19">
        <v>1</v>
      </c>
      <c r="L19">
        <v>1</v>
      </c>
    </row>
    <row r="20" spans="5:12" ht="15">
      <c r="E20" s="1">
        <v>357</v>
      </c>
      <c r="G20">
        <v>357</v>
      </c>
      <c r="I20">
        <f t="shared" si="0"/>
        <v>0</v>
      </c>
    </row>
    <row r="21" spans="5:12" ht="15">
      <c r="E21" s="1">
        <v>16</v>
      </c>
      <c r="G21">
        <v>16</v>
      </c>
      <c r="I21">
        <f t="shared" si="0"/>
        <v>0</v>
      </c>
    </row>
    <row r="22" spans="5:12" ht="15">
      <c r="E22" s="1">
        <v>578</v>
      </c>
      <c r="G22">
        <v>578</v>
      </c>
      <c r="I22">
        <f t="shared" si="0"/>
        <v>0</v>
      </c>
      <c r="K22">
        <v>229</v>
      </c>
      <c r="L22">
        <v>229</v>
      </c>
    </row>
    <row r="23" spans="5:12" ht="15">
      <c r="E23" s="1">
        <v>257</v>
      </c>
      <c r="G23">
        <v>257</v>
      </c>
      <c r="I23">
        <f t="shared" si="0"/>
        <v>0</v>
      </c>
      <c r="K23">
        <v>80</v>
      </c>
      <c r="L23">
        <v>80</v>
      </c>
    </row>
    <row r="24" spans="5:12" ht="15">
      <c r="E24" s="1">
        <v>88</v>
      </c>
      <c r="G24">
        <v>88</v>
      </c>
      <c r="I24">
        <f t="shared" si="0"/>
        <v>0</v>
      </c>
      <c r="K24">
        <v>50</v>
      </c>
      <c r="L24">
        <v>335</v>
      </c>
    </row>
    <row r="25" spans="5:12" ht="15">
      <c r="E25" s="35">
        <v>106</v>
      </c>
      <c r="G25">
        <v>106</v>
      </c>
      <c r="I25">
        <f t="shared" si="0"/>
        <v>0</v>
      </c>
    </row>
    <row r="26" spans="5:12" ht="15">
      <c r="E26" s="1">
        <v>34</v>
      </c>
      <c r="G26">
        <v>34</v>
      </c>
      <c r="I26">
        <f t="shared" si="0"/>
        <v>0</v>
      </c>
    </row>
    <row r="27" spans="5:12" ht="15">
      <c r="E27" s="1">
        <v>47</v>
      </c>
      <c r="G27">
        <v>47</v>
      </c>
      <c r="I27">
        <f t="shared" si="0"/>
        <v>0</v>
      </c>
    </row>
    <row r="28" spans="5:12" ht="15">
      <c r="E28" s="1">
        <v>203</v>
      </c>
      <c r="G28">
        <v>203</v>
      </c>
      <c r="I28">
        <f t="shared" si="0"/>
        <v>0</v>
      </c>
    </row>
    <row r="29" spans="5:12" ht="15">
      <c r="E29" s="1">
        <v>120</v>
      </c>
      <c r="G29">
        <v>120</v>
      </c>
      <c r="I29">
        <f t="shared" si="0"/>
        <v>0</v>
      </c>
      <c r="K29">
        <v>60</v>
      </c>
      <c r="L29">
        <v>60</v>
      </c>
    </row>
    <row r="30" spans="5:12" ht="15">
      <c r="E30" s="1">
        <v>147</v>
      </c>
      <c r="G30">
        <v>147</v>
      </c>
      <c r="I30">
        <f t="shared" si="0"/>
        <v>0</v>
      </c>
    </row>
    <row r="31" spans="5:12" ht="15">
      <c r="E31" s="1">
        <v>64</v>
      </c>
      <c r="G31">
        <v>64</v>
      </c>
      <c r="I31">
        <f t="shared" si="0"/>
        <v>0</v>
      </c>
    </row>
    <row r="32" spans="5:12" ht="15">
      <c r="E32" s="1">
        <v>307</v>
      </c>
      <c r="G32">
        <v>307</v>
      </c>
      <c r="I32">
        <f t="shared" si="0"/>
        <v>0</v>
      </c>
    </row>
    <row r="33" spans="5:12" ht="15">
      <c r="E33" s="1">
        <v>8</v>
      </c>
      <c r="G33">
        <v>8</v>
      </c>
      <c r="I33">
        <f t="shared" si="0"/>
        <v>0</v>
      </c>
      <c r="K33">
        <v>4</v>
      </c>
      <c r="L33">
        <v>4</v>
      </c>
    </row>
    <row r="34" spans="5:12" ht="15">
      <c r="E34" s="1">
        <v>499</v>
      </c>
      <c r="G34">
        <v>499</v>
      </c>
      <c r="I34">
        <f t="shared" si="0"/>
        <v>0</v>
      </c>
    </row>
    <row r="35" spans="5:12" ht="15">
      <c r="E35" s="1">
        <v>548</v>
      </c>
      <c r="G35">
        <v>548</v>
      </c>
      <c r="I35">
        <f t="shared" si="0"/>
        <v>0</v>
      </c>
    </row>
    <row r="36" spans="5:12" ht="15">
      <c r="E36" s="1">
        <v>40</v>
      </c>
      <c r="G36">
        <v>40</v>
      </c>
      <c r="I36">
        <f t="shared" si="0"/>
        <v>0</v>
      </c>
      <c r="K36">
        <v>20</v>
      </c>
      <c r="L36">
        <v>20</v>
      </c>
    </row>
    <row r="37" spans="5:12" ht="15">
      <c r="E37" s="1">
        <v>360</v>
      </c>
      <c r="G37">
        <v>360</v>
      </c>
      <c r="I37">
        <f t="shared" si="0"/>
        <v>0</v>
      </c>
    </row>
    <row r="38" spans="5:12" ht="15">
      <c r="E38" s="1">
        <v>1049</v>
      </c>
      <c r="G38">
        <v>1049</v>
      </c>
      <c r="I38">
        <f t="shared" si="0"/>
        <v>0</v>
      </c>
    </row>
    <row r="39" spans="5:12" ht="15">
      <c r="E39" s="36">
        <v>15</v>
      </c>
      <c r="G39">
        <v>15</v>
      </c>
      <c r="I39">
        <f t="shared" si="0"/>
        <v>0</v>
      </c>
    </row>
    <row r="40" spans="5:12" ht="15">
      <c r="E40" s="1">
        <v>45</v>
      </c>
      <c r="G40">
        <v>45</v>
      </c>
      <c r="I40">
        <f t="shared" si="0"/>
        <v>0</v>
      </c>
    </row>
    <row r="41" spans="5:12" ht="15">
      <c r="E41" s="36">
        <v>74</v>
      </c>
      <c r="G41">
        <v>74</v>
      </c>
      <c r="I41">
        <f t="shared" si="0"/>
        <v>0</v>
      </c>
    </row>
    <row r="42" spans="5:12" ht="15">
      <c r="E42" s="1">
        <v>46</v>
      </c>
      <c r="G42">
        <v>46</v>
      </c>
      <c r="I42">
        <f t="shared" si="0"/>
        <v>0</v>
      </c>
    </row>
    <row r="43" spans="5:12" ht="15">
      <c r="E43" s="1">
        <v>324</v>
      </c>
      <c r="G43">
        <v>324</v>
      </c>
      <c r="I43">
        <f t="shared" si="0"/>
        <v>0</v>
      </c>
    </row>
    <row r="44" spans="5:12" ht="15">
      <c r="E44" s="1">
        <v>117</v>
      </c>
      <c r="G44">
        <v>117</v>
      </c>
      <c r="I44">
        <f t="shared" si="0"/>
        <v>0</v>
      </c>
    </row>
    <row r="45" spans="5:12" ht="15">
      <c r="E45" s="1">
        <v>94</v>
      </c>
      <c r="G45">
        <v>94</v>
      </c>
      <c r="I45">
        <f t="shared" si="0"/>
        <v>0</v>
      </c>
    </row>
    <row r="46" spans="5:12" ht="15">
      <c r="E46" s="1">
        <v>91</v>
      </c>
      <c r="G46">
        <v>91</v>
      </c>
      <c r="I46">
        <f t="shared" si="0"/>
        <v>0</v>
      </c>
    </row>
    <row r="47" spans="5:12" ht="15">
      <c r="E47" s="1">
        <v>79</v>
      </c>
      <c r="G47">
        <v>79</v>
      </c>
      <c r="I47">
        <f t="shared" si="0"/>
        <v>0</v>
      </c>
    </row>
    <row r="48" spans="5:12" ht="15">
      <c r="E48" s="1">
        <v>35</v>
      </c>
      <c r="G48">
        <v>35</v>
      </c>
      <c r="I48">
        <f t="shared" si="0"/>
        <v>0</v>
      </c>
    </row>
    <row r="49" spans="5:12" ht="15">
      <c r="E49" s="1">
        <v>106</v>
      </c>
      <c r="G49">
        <v>106</v>
      </c>
      <c r="I49">
        <f t="shared" si="0"/>
        <v>0</v>
      </c>
    </row>
    <row r="50" spans="5:12" ht="15">
      <c r="E50" s="1">
        <v>417</v>
      </c>
      <c r="G50">
        <v>417</v>
      </c>
      <c r="I50">
        <f t="shared" si="0"/>
        <v>0</v>
      </c>
    </row>
    <row r="51" spans="5:12" ht="15">
      <c r="E51" s="1">
        <v>176</v>
      </c>
      <c r="G51">
        <v>176</v>
      </c>
      <c r="I51">
        <f t="shared" si="0"/>
        <v>0</v>
      </c>
    </row>
    <row r="52" spans="5:12" ht="15">
      <c r="E52" s="21">
        <v>17</v>
      </c>
      <c r="G52">
        <v>17</v>
      </c>
      <c r="I52">
        <f t="shared" si="0"/>
        <v>0</v>
      </c>
      <c r="K52">
        <v>4</v>
      </c>
      <c r="L52">
        <v>4</v>
      </c>
    </row>
    <row r="53" spans="5:12" ht="15">
      <c r="E53" s="1">
        <v>98</v>
      </c>
      <c r="G53">
        <v>98</v>
      </c>
      <c r="I53">
        <f t="shared" si="0"/>
        <v>0</v>
      </c>
    </row>
    <row r="54" spans="5:12" ht="15">
      <c r="E54" s="1">
        <v>54</v>
      </c>
      <c r="G54">
        <v>54</v>
      </c>
      <c r="I54">
        <f t="shared" si="0"/>
        <v>0</v>
      </c>
    </row>
    <row r="55" spans="5:12" ht="15">
      <c r="E55" s="1">
        <v>507</v>
      </c>
      <c r="G55">
        <v>507</v>
      </c>
      <c r="I55">
        <f t="shared" si="0"/>
        <v>0</v>
      </c>
    </row>
    <row r="56" spans="5:12" ht="15">
      <c r="E56" s="1">
        <v>112</v>
      </c>
      <c r="G56">
        <v>112</v>
      </c>
      <c r="I56">
        <f t="shared" si="0"/>
        <v>0</v>
      </c>
    </row>
    <row r="57" spans="5:12" ht="15">
      <c r="E57" s="1">
        <v>256</v>
      </c>
      <c r="G57">
        <v>256</v>
      </c>
      <c r="I57">
        <f t="shared" si="0"/>
        <v>0</v>
      </c>
    </row>
    <row r="58" spans="5:12" ht="15">
      <c r="E58" s="1">
        <v>257</v>
      </c>
      <c r="G58">
        <v>257</v>
      </c>
      <c r="I58">
        <f t="shared" si="0"/>
        <v>0</v>
      </c>
    </row>
    <row r="59" spans="5:12" ht="15">
      <c r="E59" s="1">
        <v>703</v>
      </c>
      <c r="G59">
        <v>702</v>
      </c>
      <c r="I59">
        <f t="shared" si="0"/>
        <v>1</v>
      </c>
    </row>
    <row r="60" spans="5:12" ht="15">
      <c r="E60" s="1">
        <v>16</v>
      </c>
      <c r="G60">
        <v>16</v>
      </c>
      <c r="I60">
        <f t="shared" si="0"/>
        <v>0</v>
      </c>
    </row>
    <row r="61" spans="5:12" ht="15">
      <c r="E61" s="1">
        <v>80</v>
      </c>
      <c r="G61">
        <v>80</v>
      </c>
      <c r="I61">
        <f t="shared" si="0"/>
        <v>0</v>
      </c>
    </row>
    <row r="62" spans="5:12" ht="15">
      <c r="E62" s="1">
        <v>62</v>
      </c>
      <c r="G62">
        <v>62</v>
      </c>
      <c r="I62">
        <f t="shared" si="0"/>
        <v>0</v>
      </c>
    </row>
    <row r="63" spans="5:12" ht="15">
      <c r="E63" s="1">
        <v>51</v>
      </c>
      <c r="G63">
        <v>51</v>
      </c>
      <c r="I63">
        <f t="shared" si="0"/>
        <v>0</v>
      </c>
    </row>
    <row r="64" spans="5:12" ht="15">
      <c r="E64" s="1">
        <v>205</v>
      </c>
      <c r="G64">
        <v>205</v>
      </c>
      <c r="I64">
        <f t="shared" si="0"/>
        <v>0</v>
      </c>
    </row>
    <row r="65" spans="5:12" ht="15">
      <c r="E65" s="1">
        <v>185</v>
      </c>
      <c r="G65">
        <v>185</v>
      </c>
      <c r="I65">
        <f t="shared" si="0"/>
        <v>0</v>
      </c>
    </row>
    <row r="66" spans="5:12" ht="15">
      <c r="E66" s="1">
        <v>27</v>
      </c>
      <c r="G66">
        <v>27</v>
      </c>
      <c r="I66">
        <f t="shared" ref="I66:I95" si="1">E66-G66</f>
        <v>0</v>
      </c>
    </row>
    <row r="67" spans="5:12" ht="15">
      <c r="E67" s="1">
        <v>26</v>
      </c>
      <c r="G67">
        <v>26</v>
      </c>
      <c r="I67">
        <f t="shared" si="1"/>
        <v>0</v>
      </c>
    </row>
    <row r="68" spans="5:12" ht="15">
      <c r="E68" s="1">
        <v>96</v>
      </c>
      <c r="G68">
        <v>96</v>
      </c>
      <c r="I68">
        <f t="shared" si="1"/>
        <v>0</v>
      </c>
    </row>
    <row r="69" spans="5:12" ht="15">
      <c r="E69" s="1">
        <v>73</v>
      </c>
      <c r="G69">
        <v>73</v>
      </c>
      <c r="I69">
        <f t="shared" si="1"/>
        <v>0</v>
      </c>
    </row>
    <row r="70" spans="5:12" ht="15">
      <c r="E70" s="1">
        <v>126</v>
      </c>
      <c r="G70">
        <v>126</v>
      </c>
      <c r="I70">
        <f t="shared" si="1"/>
        <v>0</v>
      </c>
    </row>
    <row r="71" spans="5:12" ht="15">
      <c r="E71" s="1">
        <v>50</v>
      </c>
      <c r="G71">
        <v>50</v>
      </c>
      <c r="I71">
        <f t="shared" si="1"/>
        <v>0</v>
      </c>
    </row>
    <row r="72" spans="5:12" ht="15">
      <c r="E72" s="1">
        <v>56</v>
      </c>
      <c r="G72">
        <v>56</v>
      </c>
      <c r="I72">
        <f t="shared" si="1"/>
        <v>0</v>
      </c>
    </row>
    <row r="73" spans="5:12" ht="15">
      <c r="E73" s="1">
        <v>42</v>
      </c>
      <c r="G73">
        <v>42</v>
      </c>
      <c r="I73">
        <f t="shared" si="1"/>
        <v>0</v>
      </c>
    </row>
    <row r="74" spans="5:12" ht="15">
      <c r="E74" s="85">
        <v>44</v>
      </c>
      <c r="G74">
        <v>44</v>
      </c>
      <c r="I74">
        <f t="shared" si="1"/>
        <v>0</v>
      </c>
      <c r="K74">
        <v>31</v>
      </c>
      <c r="L74">
        <v>31</v>
      </c>
    </row>
    <row r="75" spans="5:12" ht="15">
      <c r="E75" s="1">
        <v>20</v>
      </c>
      <c r="G75">
        <v>20</v>
      </c>
      <c r="I75">
        <f t="shared" si="1"/>
        <v>0</v>
      </c>
    </row>
    <row r="76" spans="5:12" ht="15">
      <c r="E76" s="1">
        <v>48</v>
      </c>
      <c r="G76">
        <v>48</v>
      </c>
      <c r="I76">
        <f t="shared" si="1"/>
        <v>0</v>
      </c>
      <c r="K76">
        <v>40</v>
      </c>
      <c r="L76">
        <v>40</v>
      </c>
    </row>
    <row r="77" spans="5:12" ht="15">
      <c r="E77" s="1">
        <v>39</v>
      </c>
      <c r="G77">
        <v>39</v>
      </c>
      <c r="I77">
        <f t="shared" si="1"/>
        <v>0</v>
      </c>
    </row>
    <row r="78" spans="5:12" ht="15">
      <c r="E78" s="1">
        <v>50</v>
      </c>
      <c r="G78">
        <v>50</v>
      </c>
      <c r="I78">
        <f t="shared" si="1"/>
        <v>0</v>
      </c>
    </row>
    <row r="79" spans="5:12" ht="15">
      <c r="E79" s="1">
        <v>96</v>
      </c>
      <c r="G79">
        <v>96</v>
      </c>
      <c r="I79">
        <f t="shared" si="1"/>
        <v>0</v>
      </c>
    </row>
    <row r="80" spans="5:12" ht="15">
      <c r="E80" s="1">
        <v>82</v>
      </c>
      <c r="G80">
        <v>82</v>
      </c>
      <c r="I80">
        <f t="shared" si="1"/>
        <v>0</v>
      </c>
    </row>
    <row r="81" spans="5:12" ht="15">
      <c r="E81" s="1">
        <v>187</v>
      </c>
      <c r="G81">
        <v>187</v>
      </c>
      <c r="I81">
        <f t="shared" si="1"/>
        <v>0</v>
      </c>
    </row>
    <row r="82" spans="5:12" ht="15">
      <c r="E82" s="1">
        <v>109</v>
      </c>
      <c r="G82">
        <v>109</v>
      </c>
      <c r="I82">
        <f t="shared" si="1"/>
        <v>0</v>
      </c>
    </row>
    <row r="83" spans="5:12" ht="15">
      <c r="E83" s="1">
        <v>114</v>
      </c>
      <c r="G83">
        <v>114</v>
      </c>
      <c r="I83">
        <f t="shared" si="1"/>
        <v>0</v>
      </c>
    </row>
    <row r="84" spans="5:12" ht="15">
      <c r="E84" s="1">
        <v>240</v>
      </c>
      <c r="G84">
        <v>240</v>
      </c>
      <c r="I84">
        <f t="shared" si="1"/>
        <v>0</v>
      </c>
    </row>
    <row r="85" spans="5:12" ht="15">
      <c r="E85" s="1">
        <v>72</v>
      </c>
      <c r="G85">
        <v>72</v>
      </c>
      <c r="I85">
        <f t="shared" si="1"/>
        <v>0</v>
      </c>
    </row>
    <row r="86" spans="5:12" ht="15">
      <c r="E86" s="1">
        <v>113</v>
      </c>
      <c r="G86">
        <v>113</v>
      </c>
      <c r="I86">
        <f t="shared" si="1"/>
        <v>0</v>
      </c>
    </row>
    <row r="87" spans="5:12" ht="15">
      <c r="E87" s="1">
        <v>47</v>
      </c>
      <c r="G87">
        <v>47</v>
      </c>
      <c r="I87">
        <f t="shared" si="1"/>
        <v>0</v>
      </c>
    </row>
    <row r="88" spans="5:12" ht="15">
      <c r="E88" s="1">
        <v>60</v>
      </c>
      <c r="G88">
        <v>60</v>
      </c>
      <c r="I88">
        <f t="shared" si="1"/>
        <v>0</v>
      </c>
    </row>
    <row r="89" spans="5:12" ht="15">
      <c r="E89" s="1">
        <v>61</v>
      </c>
      <c r="G89">
        <v>61</v>
      </c>
      <c r="I89">
        <f t="shared" si="1"/>
        <v>0</v>
      </c>
    </row>
    <row r="90" spans="5:12" ht="15">
      <c r="E90" s="1">
        <v>61</v>
      </c>
      <c r="G90">
        <v>61</v>
      </c>
      <c r="I90">
        <f t="shared" si="1"/>
        <v>0</v>
      </c>
      <c r="K90">
        <v>46</v>
      </c>
      <c r="L90">
        <v>46</v>
      </c>
    </row>
    <row r="91" spans="5:12" ht="15">
      <c r="E91" s="1">
        <v>40</v>
      </c>
      <c r="G91">
        <v>40</v>
      </c>
      <c r="I91">
        <f t="shared" si="1"/>
        <v>0</v>
      </c>
    </row>
    <row r="92" spans="5:12" ht="15">
      <c r="E92" s="1">
        <v>51</v>
      </c>
      <c r="G92">
        <v>51</v>
      </c>
      <c r="I92">
        <f t="shared" si="1"/>
        <v>0</v>
      </c>
      <c r="K92">
        <v>32</v>
      </c>
      <c r="L92">
        <v>32</v>
      </c>
    </row>
    <row r="93" spans="5:12" ht="15">
      <c r="E93" s="1">
        <v>91</v>
      </c>
      <c r="G93">
        <v>91</v>
      </c>
      <c r="I93">
        <f t="shared" si="1"/>
        <v>0</v>
      </c>
    </row>
    <row r="94" spans="5:12" ht="15">
      <c r="E94" s="1">
        <v>173</v>
      </c>
      <c r="G94">
        <v>173</v>
      </c>
      <c r="I94">
        <f t="shared" si="1"/>
        <v>0</v>
      </c>
    </row>
    <row r="95" spans="5:12" ht="15">
      <c r="E95" s="1">
        <v>10</v>
      </c>
      <c r="G95">
        <v>10</v>
      </c>
      <c r="I95">
        <f t="shared" si="1"/>
        <v>0</v>
      </c>
      <c r="K95">
        <v>5</v>
      </c>
      <c r="L95">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C5597-879D-41E7-A0BD-E60614D3249B}">
  <dimension ref="G1:J119"/>
  <sheetViews>
    <sheetView topLeftCell="A101" workbookViewId="0">
      <selection activeCell="M129" sqref="M129"/>
    </sheetView>
  </sheetViews>
  <sheetFormatPr defaultRowHeight="14.4"/>
  <sheetData>
    <row r="1" spans="7:9">
      <c r="H1" t="s">
        <v>524</v>
      </c>
    </row>
    <row r="2" spans="7:9">
      <c r="G2">
        <v>189</v>
      </c>
      <c r="H2">
        <v>61</v>
      </c>
      <c r="I2">
        <f>H2*G2</f>
        <v>11529</v>
      </c>
    </row>
    <row r="3" spans="7:9">
      <c r="G3">
        <v>454</v>
      </c>
      <c r="H3">
        <v>61</v>
      </c>
      <c r="I3">
        <f t="shared" ref="I3:I56" si="0">H3*G3</f>
        <v>27694</v>
      </c>
    </row>
    <row r="4" spans="7:9">
      <c r="G4">
        <v>7</v>
      </c>
      <c r="H4">
        <v>57</v>
      </c>
      <c r="I4">
        <f t="shared" si="0"/>
        <v>399</v>
      </c>
    </row>
    <row r="5" spans="7:9">
      <c r="G5">
        <v>103</v>
      </c>
      <c r="H5">
        <v>59</v>
      </c>
      <c r="I5">
        <f t="shared" si="0"/>
        <v>6077</v>
      </c>
    </row>
    <row r="6" spans="7:9">
      <c r="G6">
        <v>152</v>
      </c>
      <c r="H6">
        <v>55</v>
      </c>
      <c r="I6">
        <f t="shared" si="0"/>
        <v>8360</v>
      </c>
    </row>
    <row r="7" spans="7:9">
      <c r="G7">
        <v>330</v>
      </c>
      <c r="H7">
        <v>60</v>
      </c>
      <c r="I7">
        <f t="shared" si="0"/>
        <v>19800</v>
      </c>
    </row>
    <row r="8" spans="7:9">
      <c r="G8">
        <v>103</v>
      </c>
      <c r="H8">
        <v>61</v>
      </c>
      <c r="I8">
        <f t="shared" si="0"/>
        <v>6283</v>
      </c>
    </row>
    <row r="9" spans="7:9">
      <c r="G9">
        <v>109</v>
      </c>
      <c r="H9">
        <v>58</v>
      </c>
      <c r="I9">
        <f t="shared" si="0"/>
        <v>6322</v>
      </c>
    </row>
    <row r="10" spans="7:9">
      <c r="G10">
        <v>174</v>
      </c>
      <c r="H10">
        <v>63</v>
      </c>
      <c r="I10">
        <f t="shared" si="0"/>
        <v>10962</v>
      </c>
    </row>
    <row r="11" spans="7:9">
      <c r="G11">
        <v>87</v>
      </c>
      <c r="H11">
        <v>58</v>
      </c>
      <c r="I11">
        <f t="shared" si="0"/>
        <v>5046</v>
      </c>
    </row>
    <row r="12" spans="7:9">
      <c r="G12">
        <v>79</v>
      </c>
      <c r="H12">
        <v>61</v>
      </c>
      <c r="I12">
        <f t="shared" si="0"/>
        <v>4819</v>
      </c>
    </row>
    <row r="13" spans="7:9">
      <c r="G13">
        <v>3</v>
      </c>
      <c r="H13">
        <v>68</v>
      </c>
      <c r="I13">
        <f t="shared" si="0"/>
        <v>204</v>
      </c>
    </row>
    <row r="14" spans="7:9">
      <c r="G14">
        <v>5</v>
      </c>
      <c r="H14">
        <v>59</v>
      </c>
      <c r="I14">
        <f t="shared" si="0"/>
        <v>295</v>
      </c>
    </row>
    <row r="15" spans="7:9">
      <c r="G15">
        <v>586</v>
      </c>
      <c r="H15">
        <v>58</v>
      </c>
      <c r="I15">
        <f t="shared" si="0"/>
        <v>33988</v>
      </c>
    </row>
    <row r="16" spans="7:9">
      <c r="G16">
        <v>257</v>
      </c>
      <c r="H16">
        <v>64</v>
      </c>
      <c r="I16">
        <f t="shared" si="0"/>
        <v>16448</v>
      </c>
    </row>
    <row r="17" spans="7:9">
      <c r="G17">
        <v>100</v>
      </c>
      <c r="H17">
        <v>65</v>
      </c>
      <c r="I17">
        <f t="shared" si="0"/>
        <v>6500</v>
      </c>
    </row>
    <row r="18" spans="7:9">
      <c r="G18">
        <v>101</v>
      </c>
      <c r="H18">
        <v>64</v>
      </c>
      <c r="I18">
        <f t="shared" si="0"/>
        <v>6464</v>
      </c>
    </row>
    <row r="19" spans="7:9">
      <c r="G19">
        <v>33</v>
      </c>
      <c r="H19">
        <v>62</v>
      </c>
      <c r="I19">
        <f t="shared" si="0"/>
        <v>2046</v>
      </c>
    </row>
    <row r="20" spans="7:9">
      <c r="G20">
        <v>47</v>
      </c>
      <c r="H20">
        <v>60</v>
      </c>
      <c r="I20">
        <f t="shared" si="0"/>
        <v>2820</v>
      </c>
    </row>
    <row r="21" spans="7:9">
      <c r="G21">
        <v>203</v>
      </c>
      <c r="H21">
        <v>60</v>
      </c>
      <c r="I21">
        <f t="shared" si="0"/>
        <v>12180</v>
      </c>
    </row>
    <row r="22" spans="7:9">
      <c r="G22">
        <v>60</v>
      </c>
      <c r="H22">
        <v>55</v>
      </c>
      <c r="I22">
        <f t="shared" si="0"/>
        <v>3300</v>
      </c>
    </row>
    <row r="23" spans="7:9">
      <c r="G23">
        <v>147</v>
      </c>
      <c r="H23">
        <v>58</v>
      </c>
      <c r="I23">
        <f t="shared" si="0"/>
        <v>8526</v>
      </c>
    </row>
    <row r="24" spans="7:9">
      <c r="G24">
        <v>4</v>
      </c>
      <c r="H24">
        <v>57</v>
      </c>
      <c r="I24">
        <f t="shared" si="0"/>
        <v>228</v>
      </c>
    </row>
    <row r="25" spans="7:9">
      <c r="G25">
        <v>20</v>
      </c>
      <c r="H25">
        <v>60</v>
      </c>
      <c r="I25">
        <f t="shared" si="0"/>
        <v>1200</v>
      </c>
    </row>
    <row r="26" spans="7:9">
      <c r="G26">
        <v>360</v>
      </c>
      <c r="H26">
        <v>64</v>
      </c>
      <c r="I26">
        <f t="shared" si="0"/>
        <v>23040</v>
      </c>
    </row>
    <row r="27" spans="7:9">
      <c r="G27">
        <v>1049</v>
      </c>
      <c r="H27">
        <v>61</v>
      </c>
      <c r="I27">
        <f t="shared" si="0"/>
        <v>63989</v>
      </c>
    </row>
    <row r="28" spans="7:9">
      <c r="G28">
        <v>15</v>
      </c>
      <c r="H28">
        <v>56</v>
      </c>
      <c r="I28">
        <f t="shared" si="0"/>
        <v>840</v>
      </c>
    </row>
    <row r="29" spans="7:9">
      <c r="G29">
        <v>45</v>
      </c>
      <c r="H29">
        <v>64</v>
      </c>
      <c r="I29">
        <f t="shared" si="0"/>
        <v>2880</v>
      </c>
    </row>
    <row r="30" spans="7:9">
      <c r="G30">
        <v>74</v>
      </c>
      <c r="H30">
        <v>67</v>
      </c>
      <c r="I30">
        <f t="shared" si="0"/>
        <v>4958</v>
      </c>
    </row>
    <row r="31" spans="7:9">
      <c r="G31">
        <v>117</v>
      </c>
      <c r="H31">
        <v>60</v>
      </c>
      <c r="I31">
        <f t="shared" si="0"/>
        <v>7020</v>
      </c>
    </row>
    <row r="32" spans="7:9">
      <c r="G32">
        <v>94</v>
      </c>
      <c r="H32">
        <v>60</v>
      </c>
      <c r="I32">
        <f t="shared" si="0"/>
        <v>5640</v>
      </c>
    </row>
    <row r="33" spans="7:9">
      <c r="G33">
        <v>91</v>
      </c>
      <c r="H33">
        <v>56</v>
      </c>
      <c r="I33">
        <f t="shared" si="0"/>
        <v>5096</v>
      </c>
    </row>
    <row r="34" spans="7:9">
      <c r="G34">
        <v>10</v>
      </c>
      <c r="H34">
        <v>63</v>
      </c>
      <c r="I34">
        <f t="shared" si="0"/>
        <v>630</v>
      </c>
    </row>
    <row r="35" spans="7:9">
      <c r="G35">
        <v>35</v>
      </c>
      <c r="H35">
        <v>67</v>
      </c>
      <c r="I35">
        <f t="shared" si="0"/>
        <v>2345</v>
      </c>
    </row>
    <row r="36" spans="7:9">
      <c r="G36">
        <v>106</v>
      </c>
      <c r="H36">
        <v>64</v>
      </c>
      <c r="I36">
        <f t="shared" si="0"/>
        <v>6784</v>
      </c>
    </row>
    <row r="37" spans="7:9">
      <c r="G37">
        <v>417</v>
      </c>
      <c r="H37">
        <v>60</v>
      </c>
      <c r="I37">
        <f t="shared" si="0"/>
        <v>25020</v>
      </c>
    </row>
    <row r="38" spans="7:9">
      <c r="G38">
        <v>76</v>
      </c>
      <c r="H38">
        <v>63</v>
      </c>
      <c r="I38">
        <f t="shared" si="0"/>
        <v>4788</v>
      </c>
    </row>
    <row r="39" spans="7:9">
      <c r="G39">
        <v>2</v>
      </c>
      <c r="H39">
        <v>67</v>
      </c>
      <c r="I39">
        <f t="shared" si="0"/>
        <v>134</v>
      </c>
    </row>
    <row r="40" spans="7:9">
      <c r="G40">
        <v>98</v>
      </c>
      <c r="H40">
        <v>57</v>
      </c>
      <c r="I40">
        <f t="shared" si="0"/>
        <v>5586</v>
      </c>
    </row>
    <row r="41" spans="7:9">
      <c r="G41">
        <v>54</v>
      </c>
      <c r="H41">
        <v>60</v>
      </c>
      <c r="I41">
        <f t="shared" si="0"/>
        <v>3240</v>
      </c>
    </row>
    <row r="42" spans="7:9">
      <c r="G42">
        <v>16</v>
      </c>
      <c r="H42">
        <v>63</v>
      </c>
      <c r="I42">
        <f t="shared" si="0"/>
        <v>1008</v>
      </c>
    </row>
    <row r="43" spans="7:9">
      <c r="G43">
        <v>80</v>
      </c>
      <c r="H43">
        <v>60</v>
      </c>
      <c r="I43">
        <f t="shared" si="0"/>
        <v>4800</v>
      </c>
    </row>
    <row r="44" spans="7:9">
      <c r="G44">
        <v>26</v>
      </c>
      <c r="H44">
        <v>58</v>
      </c>
      <c r="I44">
        <f t="shared" si="0"/>
        <v>1508</v>
      </c>
    </row>
    <row r="45" spans="7:9">
      <c r="G45">
        <v>51</v>
      </c>
      <c r="H45">
        <v>59</v>
      </c>
      <c r="I45">
        <f t="shared" si="0"/>
        <v>3009</v>
      </c>
    </row>
    <row r="46" spans="7:9">
      <c r="G46">
        <v>185</v>
      </c>
      <c r="H46">
        <v>67</v>
      </c>
      <c r="I46">
        <f t="shared" si="0"/>
        <v>12395</v>
      </c>
    </row>
    <row r="47" spans="7:9">
      <c r="G47">
        <v>26</v>
      </c>
      <c r="H47">
        <v>62</v>
      </c>
      <c r="I47">
        <f t="shared" si="0"/>
        <v>1612</v>
      </c>
    </row>
    <row r="48" spans="7:9">
      <c r="G48">
        <v>96</v>
      </c>
      <c r="H48">
        <v>63</v>
      </c>
      <c r="I48">
        <f t="shared" si="0"/>
        <v>6048</v>
      </c>
    </row>
    <row r="49" spans="7:10">
      <c r="G49">
        <v>73</v>
      </c>
      <c r="H49">
        <v>65</v>
      </c>
      <c r="I49">
        <f t="shared" si="0"/>
        <v>4745</v>
      </c>
    </row>
    <row r="50" spans="7:10">
      <c r="G50">
        <v>126</v>
      </c>
      <c r="H50">
        <v>62</v>
      </c>
      <c r="I50">
        <f t="shared" si="0"/>
        <v>7812</v>
      </c>
    </row>
    <row r="51" spans="7:10">
      <c r="G51">
        <v>50</v>
      </c>
      <c r="H51">
        <v>62</v>
      </c>
      <c r="I51">
        <f t="shared" si="0"/>
        <v>3100</v>
      </c>
    </row>
    <row r="52" spans="7:10">
      <c r="G52">
        <v>42</v>
      </c>
      <c r="H52">
        <v>61</v>
      </c>
      <c r="I52">
        <f t="shared" si="0"/>
        <v>2562</v>
      </c>
    </row>
    <row r="53" spans="7:10">
      <c r="G53">
        <v>20</v>
      </c>
      <c r="H53">
        <v>64</v>
      </c>
      <c r="I53">
        <f t="shared" si="0"/>
        <v>1280</v>
      </c>
    </row>
    <row r="54" spans="7:10">
      <c r="G54">
        <v>50</v>
      </c>
      <c r="H54">
        <v>62</v>
      </c>
      <c r="I54">
        <f t="shared" si="0"/>
        <v>3100</v>
      </c>
    </row>
    <row r="55" spans="7:10">
      <c r="G55">
        <v>109</v>
      </c>
      <c r="H55">
        <v>62</v>
      </c>
      <c r="I55">
        <f t="shared" si="0"/>
        <v>6758</v>
      </c>
    </row>
    <row r="56" spans="7:10">
      <c r="G56">
        <v>5</v>
      </c>
      <c r="H56">
        <v>58</v>
      </c>
      <c r="I56">
        <f t="shared" si="0"/>
        <v>290</v>
      </c>
    </row>
    <row r="57" spans="7:10">
      <c r="G57">
        <f>SUM(G2:G56)</f>
        <v>6951</v>
      </c>
      <c r="I57">
        <f>SUM(I2:I56)</f>
        <v>423507</v>
      </c>
      <c r="J57">
        <f>I57/G57</f>
        <v>60.927492447129907</v>
      </c>
    </row>
    <row r="60" spans="7:10">
      <c r="G60" t="s">
        <v>525</v>
      </c>
    </row>
    <row r="61" spans="7:10" ht="15">
      <c r="G61" s="65">
        <v>142</v>
      </c>
      <c r="H61" s="1">
        <v>189</v>
      </c>
    </row>
    <row r="62" spans="7:10" ht="15">
      <c r="G62" s="65">
        <v>321</v>
      </c>
      <c r="H62" s="1">
        <v>454</v>
      </c>
    </row>
    <row r="63" spans="7:10" ht="15">
      <c r="G63" s="65">
        <v>4</v>
      </c>
      <c r="H63" s="1">
        <v>7</v>
      </c>
    </row>
    <row r="64" spans="7:10" ht="15">
      <c r="G64" s="65">
        <v>70</v>
      </c>
      <c r="H64" s="1">
        <v>103</v>
      </c>
    </row>
    <row r="65" spans="7:8" ht="15">
      <c r="G65" s="65">
        <v>111</v>
      </c>
      <c r="H65" s="1">
        <v>152</v>
      </c>
    </row>
    <row r="66" spans="7:8" ht="15">
      <c r="G66" s="65">
        <v>214</v>
      </c>
      <c r="H66" s="1">
        <v>330</v>
      </c>
    </row>
    <row r="67" spans="7:8" ht="15">
      <c r="G67" s="65">
        <v>77</v>
      </c>
      <c r="H67" s="1">
        <v>103</v>
      </c>
    </row>
    <row r="68" spans="7:8" ht="15">
      <c r="G68" s="65">
        <v>79</v>
      </c>
      <c r="H68" s="1">
        <v>109</v>
      </c>
    </row>
    <row r="69" spans="7:8" ht="15">
      <c r="G69" s="65">
        <v>67</v>
      </c>
      <c r="H69" s="1">
        <v>103</v>
      </c>
    </row>
    <row r="70" spans="7:8" ht="15">
      <c r="G70" s="65">
        <v>102</v>
      </c>
      <c r="H70" s="36">
        <v>174</v>
      </c>
    </row>
    <row r="71" spans="7:8" ht="15">
      <c r="G71" s="65">
        <v>52</v>
      </c>
      <c r="H71" s="1">
        <v>87</v>
      </c>
    </row>
    <row r="72" spans="7:8" ht="15">
      <c r="G72" s="65">
        <v>56</v>
      </c>
      <c r="H72" s="1">
        <v>79</v>
      </c>
    </row>
    <row r="73" spans="7:8" ht="15">
      <c r="G73" s="65">
        <v>3</v>
      </c>
      <c r="H73" s="1">
        <v>3</v>
      </c>
    </row>
    <row r="74" spans="7:8" ht="15">
      <c r="G74" s="65">
        <v>3</v>
      </c>
      <c r="H74" s="1">
        <v>5</v>
      </c>
    </row>
    <row r="75" spans="7:8" ht="15">
      <c r="G75" s="81">
        <v>417</v>
      </c>
      <c r="H75" s="76">
        <v>586</v>
      </c>
    </row>
    <row r="76" spans="7:8" ht="15">
      <c r="G76" s="81">
        <v>88</v>
      </c>
      <c r="H76" s="76">
        <v>257</v>
      </c>
    </row>
    <row r="77" spans="7:8" ht="15">
      <c r="G77" s="81">
        <v>25</v>
      </c>
      <c r="H77" s="1">
        <v>100</v>
      </c>
    </row>
    <row r="78" spans="7:8" ht="15">
      <c r="G78" s="65">
        <v>68</v>
      </c>
      <c r="H78" s="1">
        <v>101</v>
      </c>
    </row>
    <row r="79" spans="7:8" ht="15">
      <c r="G79" s="65">
        <v>31</v>
      </c>
      <c r="H79" s="1">
        <v>47</v>
      </c>
    </row>
    <row r="80" spans="7:8" ht="15">
      <c r="G80" s="65">
        <v>132</v>
      </c>
      <c r="H80" s="1">
        <v>203</v>
      </c>
    </row>
    <row r="81" spans="7:8" ht="15">
      <c r="G81" s="81">
        <v>41</v>
      </c>
      <c r="H81" s="1">
        <v>60</v>
      </c>
    </row>
    <row r="82" spans="7:8" ht="15">
      <c r="G82" s="65">
        <v>101</v>
      </c>
      <c r="H82" s="1">
        <v>147</v>
      </c>
    </row>
    <row r="83" spans="7:8" ht="15">
      <c r="G83" s="81">
        <v>4</v>
      </c>
      <c r="H83" s="1">
        <v>4</v>
      </c>
    </row>
    <row r="84" spans="7:8" ht="15">
      <c r="G84" s="65">
        <v>11</v>
      </c>
      <c r="H84" s="1">
        <v>20</v>
      </c>
    </row>
    <row r="85" spans="7:8" ht="15">
      <c r="G85" s="65">
        <v>716</v>
      </c>
      <c r="H85" s="1">
        <v>1049</v>
      </c>
    </row>
    <row r="86" spans="7:8" ht="15">
      <c r="G86" s="65">
        <v>11</v>
      </c>
      <c r="H86" s="79">
        <v>15</v>
      </c>
    </row>
    <row r="87" spans="7:8" ht="15">
      <c r="G87" s="65">
        <v>30</v>
      </c>
      <c r="H87" s="1">
        <v>45</v>
      </c>
    </row>
    <row r="88" spans="7:8" ht="15">
      <c r="G88" s="65">
        <v>43</v>
      </c>
      <c r="H88" s="79">
        <v>74</v>
      </c>
    </row>
    <row r="89" spans="7:8" ht="15">
      <c r="G89" s="83">
        <v>87</v>
      </c>
      <c r="H89" s="1">
        <v>117</v>
      </c>
    </row>
    <row r="90" spans="7:8" ht="15">
      <c r="G90" s="65">
        <v>52</v>
      </c>
      <c r="H90" s="1">
        <v>94</v>
      </c>
    </row>
    <row r="91" spans="7:8" ht="15">
      <c r="G91" s="65">
        <v>89</v>
      </c>
      <c r="H91" s="1">
        <v>91</v>
      </c>
    </row>
    <row r="92" spans="7:8" ht="15">
      <c r="G92" s="65">
        <v>7</v>
      </c>
      <c r="H92" s="1">
        <v>10</v>
      </c>
    </row>
    <row r="93" spans="7:8" ht="15">
      <c r="G93" s="65">
        <v>18</v>
      </c>
      <c r="H93" s="1">
        <v>35</v>
      </c>
    </row>
    <row r="94" spans="7:8" ht="15">
      <c r="G94" s="65">
        <v>78</v>
      </c>
      <c r="H94" s="1">
        <v>106</v>
      </c>
    </row>
    <row r="95" spans="7:8" ht="15">
      <c r="G95" s="65">
        <v>290</v>
      </c>
      <c r="H95" s="1">
        <v>417</v>
      </c>
    </row>
    <row r="96" spans="7:8" ht="15">
      <c r="G96" s="65">
        <v>44</v>
      </c>
      <c r="H96" s="1">
        <v>76</v>
      </c>
    </row>
    <row r="97" spans="7:8" ht="15">
      <c r="G97" s="65">
        <v>2</v>
      </c>
      <c r="H97" s="1">
        <v>2</v>
      </c>
    </row>
    <row r="98" spans="7:8" ht="15">
      <c r="G98" s="65">
        <v>59</v>
      </c>
      <c r="H98" s="1">
        <v>98</v>
      </c>
    </row>
    <row r="99" spans="7:8" ht="15">
      <c r="G99" s="65">
        <v>33</v>
      </c>
      <c r="H99" s="1">
        <v>54</v>
      </c>
    </row>
    <row r="100" spans="7:8" ht="15">
      <c r="G100" s="65">
        <v>309</v>
      </c>
      <c r="H100" s="1">
        <v>507</v>
      </c>
    </row>
    <row r="101" spans="7:8" ht="15">
      <c r="G101" s="65">
        <v>12</v>
      </c>
      <c r="H101" s="1">
        <v>16</v>
      </c>
    </row>
    <row r="102" spans="7:8" ht="15">
      <c r="G102" s="65">
        <v>43</v>
      </c>
      <c r="H102" s="1">
        <v>80</v>
      </c>
    </row>
    <row r="103" spans="7:8" ht="15">
      <c r="G103" s="65">
        <v>16</v>
      </c>
      <c r="H103" s="1">
        <v>26</v>
      </c>
    </row>
    <row r="104" spans="7:8" ht="15">
      <c r="G104" s="65">
        <v>34</v>
      </c>
      <c r="H104" s="1">
        <v>51</v>
      </c>
    </row>
    <row r="105" spans="7:8" ht="15">
      <c r="G105" s="65">
        <v>122</v>
      </c>
      <c r="H105" s="1">
        <v>205</v>
      </c>
    </row>
    <row r="106" spans="7:8" ht="15">
      <c r="G106" s="65">
        <v>110</v>
      </c>
      <c r="H106" s="1">
        <v>185</v>
      </c>
    </row>
    <row r="107" spans="7:8" ht="15">
      <c r="G107" s="65">
        <v>21</v>
      </c>
      <c r="H107" s="1">
        <v>26</v>
      </c>
    </row>
    <row r="108" spans="7:8" ht="15">
      <c r="G108" s="65">
        <v>64</v>
      </c>
      <c r="H108" s="1">
        <v>96</v>
      </c>
    </row>
    <row r="109" spans="7:8" ht="15">
      <c r="G109" s="65">
        <v>55</v>
      </c>
      <c r="H109" s="1">
        <v>73</v>
      </c>
    </row>
    <row r="110" spans="7:8" ht="15">
      <c r="G110" s="65">
        <v>84</v>
      </c>
      <c r="H110" s="1">
        <v>126</v>
      </c>
    </row>
    <row r="111" spans="7:8" ht="15">
      <c r="G111" s="65">
        <v>35</v>
      </c>
      <c r="H111" s="1">
        <v>50</v>
      </c>
    </row>
    <row r="112" spans="7:8" ht="15">
      <c r="G112" s="65">
        <v>45</v>
      </c>
      <c r="H112" s="1">
        <v>56</v>
      </c>
    </row>
    <row r="113" spans="7:9" ht="15">
      <c r="G113" s="65">
        <v>29</v>
      </c>
      <c r="H113" s="1">
        <v>42</v>
      </c>
    </row>
    <row r="114" spans="7:9" ht="15">
      <c r="G114" s="65">
        <v>35</v>
      </c>
      <c r="H114" s="1">
        <v>50</v>
      </c>
    </row>
    <row r="115" spans="7:9" ht="15">
      <c r="G115" s="65">
        <v>137</v>
      </c>
      <c r="H115" s="1">
        <v>187</v>
      </c>
    </row>
    <row r="116" spans="7:9" ht="15">
      <c r="G116" s="65">
        <v>74</v>
      </c>
      <c r="H116" s="1">
        <v>109</v>
      </c>
    </row>
    <row r="117" spans="7:9" ht="15">
      <c r="G117" s="65">
        <v>148</v>
      </c>
      <c r="H117" s="1">
        <v>240</v>
      </c>
    </row>
    <row r="118" spans="7:9" ht="15">
      <c r="G118" s="81">
        <v>3</v>
      </c>
      <c r="H118" s="1">
        <v>5</v>
      </c>
    </row>
    <row r="119" spans="7:9">
      <c r="G119" s="84">
        <f>SUM(G61:G118)</f>
        <v>5154</v>
      </c>
      <c r="H119" s="84">
        <f>SUM(H61:H118)</f>
        <v>7836</v>
      </c>
      <c r="I119">
        <f>G119/H119</f>
        <v>0.65773353751914243</v>
      </c>
    </row>
  </sheetData>
  <autoFilter ref="G60:H118" xr:uid="{FA1C5597-879D-41E7-A0BD-E60614D3249B}"/>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944D2-2FC3-49A6-BFBB-0104CA31C9C6}">
  <dimension ref="A1"/>
  <sheetViews>
    <sheetView workbookViewId="0"/>
  </sheetViews>
  <sheetFormatPr defaultRowHeight="14.4"/>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10A2-97B5-4A16-84D1-AD320E6E72B5}">
  <dimension ref="A1:M80"/>
  <sheetViews>
    <sheetView workbookViewId="0">
      <pane ySplit="1" topLeftCell="A2" activePane="bottomLeft" state="frozen"/>
      <selection pane="bottomLeft" sqref="A1:M18"/>
    </sheetView>
  </sheetViews>
  <sheetFormatPr defaultRowHeight="14.4"/>
  <cols>
    <col min="1" max="1" width="9.109375" customWidth="1"/>
    <col min="2" max="3" width="3.88671875" customWidth="1"/>
    <col min="4" max="5" width="4.6640625" customWidth="1"/>
    <col min="6" max="6" width="4.44140625" customWidth="1"/>
    <col min="7" max="7" width="4.109375" customWidth="1"/>
    <col min="8" max="8" width="3.88671875" customWidth="1"/>
    <col min="9" max="10" width="3.6640625" customWidth="1"/>
    <col min="11" max="11" width="4.6640625" customWidth="1"/>
    <col min="12" max="12" width="3.6640625" customWidth="1"/>
    <col min="13" max="13" width="3.44140625" customWidth="1"/>
  </cols>
  <sheetData>
    <row r="1" spans="1:13">
      <c r="C1" t="s">
        <v>19</v>
      </c>
      <c r="D1" t="s">
        <v>20</v>
      </c>
      <c r="E1" t="s">
        <v>22</v>
      </c>
      <c r="F1" t="s">
        <v>21</v>
      </c>
      <c r="G1" t="s">
        <v>23</v>
      </c>
      <c r="H1" t="s">
        <v>24</v>
      </c>
      <c r="I1" t="s">
        <v>28</v>
      </c>
      <c r="J1" t="s">
        <v>26</v>
      </c>
      <c r="K1" t="s">
        <v>30</v>
      </c>
      <c r="L1" t="s">
        <v>32</v>
      </c>
      <c r="M1" t="s">
        <v>29</v>
      </c>
    </row>
    <row r="2" spans="1:13">
      <c r="A2" t="s">
        <v>413</v>
      </c>
      <c r="B2">
        <v>1</v>
      </c>
      <c r="C2" t="s">
        <v>142</v>
      </c>
      <c r="F2" t="s">
        <v>142</v>
      </c>
      <c r="G2" t="s">
        <v>142</v>
      </c>
      <c r="H2" t="s">
        <v>142</v>
      </c>
    </row>
    <row r="3" spans="1:13">
      <c r="B3">
        <v>2</v>
      </c>
      <c r="C3" t="s">
        <v>142</v>
      </c>
      <c r="F3" t="s">
        <v>142</v>
      </c>
      <c r="G3" t="s">
        <v>142</v>
      </c>
      <c r="H3" t="s">
        <v>142</v>
      </c>
    </row>
    <row r="4" spans="1:13">
      <c r="B4">
        <v>3</v>
      </c>
      <c r="C4" t="s">
        <v>142</v>
      </c>
      <c r="F4" t="s">
        <v>142</v>
      </c>
      <c r="G4" t="s">
        <v>142</v>
      </c>
      <c r="H4" t="s">
        <v>142</v>
      </c>
    </row>
    <row r="5" spans="1:13">
      <c r="B5">
        <v>5</v>
      </c>
      <c r="C5" t="s">
        <v>142</v>
      </c>
      <c r="F5" t="s">
        <v>142</v>
      </c>
      <c r="G5" t="s">
        <v>142</v>
      </c>
      <c r="H5" t="s">
        <v>142</v>
      </c>
    </row>
    <row r="6" spans="1:13">
      <c r="B6">
        <v>8</v>
      </c>
      <c r="C6" t="s">
        <v>142</v>
      </c>
      <c r="F6" t="s">
        <v>142</v>
      </c>
      <c r="G6" t="s">
        <v>142</v>
      </c>
      <c r="H6" t="s">
        <v>142</v>
      </c>
    </row>
    <row r="7" spans="1:13">
      <c r="B7">
        <v>9</v>
      </c>
      <c r="C7" t="s">
        <v>142</v>
      </c>
      <c r="F7" t="s">
        <v>142</v>
      </c>
      <c r="G7" t="s">
        <v>142</v>
      </c>
      <c r="H7" t="s">
        <v>142</v>
      </c>
    </row>
    <row r="8" spans="1:13">
      <c r="B8">
        <v>4</v>
      </c>
      <c r="C8" t="s">
        <v>142</v>
      </c>
      <c r="F8" t="s">
        <v>142</v>
      </c>
      <c r="G8" t="s">
        <v>142</v>
      </c>
    </row>
    <row r="9" spans="1:13">
      <c r="B9" t="s">
        <v>414</v>
      </c>
      <c r="C9" t="s">
        <v>142</v>
      </c>
      <c r="F9" t="s">
        <v>142</v>
      </c>
      <c r="G9" t="s">
        <v>142</v>
      </c>
    </row>
    <row r="10" spans="1:13">
      <c r="B10" t="s">
        <v>132</v>
      </c>
      <c r="C10" t="s">
        <v>142</v>
      </c>
      <c r="F10" t="s">
        <v>142</v>
      </c>
      <c r="G10" t="s">
        <v>142</v>
      </c>
    </row>
    <row r="11" spans="1:13">
      <c r="B11" t="s">
        <v>131</v>
      </c>
      <c r="C11" t="s">
        <v>142</v>
      </c>
      <c r="F11" t="s">
        <v>142</v>
      </c>
      <c r="G11" t="s">
        <v>142</v>
      </c>
    </row>
    <row r="12" spans="1:13">
      <c r="A12" t="s">
        <v>415</v>
      </c>
      <c r="B12">
        <v>3</v>
      </c>
      <c r="C12" t="s">
        <v>142</v>
      </c>
      <c r="D12" t="s">
        <v>142</v>
      </c>
      <c r="F12" t="s">
        <v>142</v>
      </c>
      <c r="I12" t="s">
        <v>142</v>
      </c>
    </row>
    <row r="13" spans="1:13">
      <c r="B13">
        <v>6</v>
      </c>
      <c r="C13" t="s">
        <v>142</v>
      </c>
      <c r="D13" t="s">
        <v>142</v>
      </c>
      <c r="F13" t="s">
        <v>142</v>
      </c>
      <c r="I13" t="s">
        <v>142</v>
      </c>
    </row>
    <row r="14" spans="1:13">
      <c r="B14">
        <v>9</v>
      </c>
      <c r="C14" t="s">
        <v>142</v>
      </c>
      <c r="D14" t="s">
        <v>142</v>
      </c>
      <c r="F14" t="s">
        <v>142</v>
      </c>
      <c r="I14" t="s">
        <v>142</v>
      </c>
    </row>
    <row r="15" spans="1:13">
      <c r="B15">
        <v>7</v>
      </c>
      <c r="C15" t="s">
        <v>142</v>
      </c>
      <c r="D15" t="s">
        <v>142</v>
      </c>
      <c r="F15" t="s">
        <v>142</v>
      </c>
      <c r="I15" t="s">
        <v>142</v>
      </c>
    </row>
    <row r="16" spans="1:13">
      <c r="B16">
        <v>1</v>
      </c>
      <c r="C16" t="s">
        <v>142</v>
      </c>
      <c r="D16" t="s">
        <v>142</v>
      </c>
      <c r="F16" t="s">
        <v>142</v>
      </c>
    </row>
    <row r="17" spans="1:11">
      <c r="B17">
        <v>4</v>
      </c>
      <c r="C17" t="s">
        <v>142</v>
      </c>
      <c r="D17" t="s">
        <v>142</v>
      </c>
      <c r="F17" t="s">
        <v>142</v>
      </c>
    </row>
    <row r="18" spans="1:11">
      <c r="B18" t="s">
        <v>133</v>
      </c>
      <c r="C18" t="s">
        <v>142</v>
      </c>
      <c r="D18" t="s">
        <v>142</v>
      </c>
      <c r="F18" t="s">
        <v>142</v>
      </c>
      <c r="J18" t="s">
        <v>142</v>
      </c>
    </row>
    <row r="19" spans="1:11">
      <c r="A19" t="s">
        <v>416</v>
      </c>
      <c r="B19">
        <v>9</v>
      </c>
      <c r="C19" t="s">
        <v>142</v>
      </c>
      <c r="D19" t="s">
        <v>142</v>
      </c>
    </row>
    <row r="20" spans="1:11">
      <c r="B20">
        <v>6</v>
      </c>
      <c r="C20" t="s">
        <v>142</v>
      </c>
      <c r="D20" t="s">
        <v>142</v>
      </c>
    </row>
    <row r="21" spans="1:11">
      <c r="B21">
        <v>5</v>
      </c>
      <c r="C21" t="s">
        <v>142</v>
      </c>
      <c r="D21" t="s">
        <v>142</v>
      </c>
    </row>
    <row r="22" spans="1:11">
      <c r="B22">
        <v>2</v>
      </c>
      <c r="C22" t="s">
        <v>142</v>
      </c>
      <c r="D22" t="s">
        <v>142</v>
      </c>
    </row>
    <row r="23" spans="1:11">
      <c r="B23">
        <v>4</v>
      </c>
      <c r="C23" t="s">
        <v>142</v>
      </c>
      <c r="D23" t="s">
        <v>142</v>
      </c>
    </row>
    <row r="24" spans="1:11">
      <c r="B24">
        <v>3</v>
      </c>
      <c r="C24" t="s">
        <v>142</v>
      </c>
      <c r="D24" t="s">
        <v>142</v>
      </c>
    </row>
    <row r="25" spans="1:11">
      <c r="B25">
        <v>1</v>
      </c>
      <c r="C25" t="s">
        <v>142</v>
      </c>
      <c r="D25" t="s">
        <v>142</v>
      </c>
    </row>
    <row r="26" spans="1:11">
      <c r="B26">
        <v>7</v>
      </c>
      <c r="C26" t="s">
        <v>142</v>
      </c>
      <c r="D26" t="s">
        <v>142</v>
      </c>
    </row>
    <row r="27" spans="1:11">
      <c r="A27" t="s">
        <v>417</v>
      </c>
      <c r="B27">
        <v>3</v>
      </c>
      <c r="C27" t="s">
        <v>142</v>
      </c>
    </row>
    <row r="28" spans="1:11">
      <c r="B28" t="s">
        <v>418</v>
      </c>
      <c r="C28" t="s">
        <v>142</v>
      </c>
      <c r="D28" t="s">
        <v>142</v>
      </c>
      <c r="K28" t="s">
        <v>142</v>
      </c>
    </row>
    <row r="29" spans="1:11">
      <c r="B29">
        <v>10</v>
      </c>
      <c r="C29" t="s">
        <v>142</v>
      </c>
      <c r="I29" t="s">
        <v>142</v>
      </c>
    </row>
    <row r="30" spans="1:11">
      <c r="B30">
        <v>4</v>
      </c>
      <c r="C30" t="s">
        <v>142</v>
      </c>
      <c r="D30" t="s">
        <v>142</v>
      </c>
      <c r="I30" t="s">
        <v>142</v>
      </c>
    </row>
    <row r="31" spans="1:11">
      <c r="B31">
        <v>2</v>
      </c>
      <c r="C31" t="s">
        <v>142</v>
      </c>
      <c r="D31" t="s">
        <v>142</v>
      </c>
      <c r="I31" t="s">
        <v>142</v>
      </c>
    </row>
    <row r="32" spans="1:11">
      <c r="B32">
        <v>8</v>
      </c>
      <c r="C32" t="s">
        <v>142</v>
      </c>
      <c r="D32" t="s">
        <v>142</v>
      </c>
      <c r="I32" t="s">
        <v>142</v>
      </c>
    </row>
    <row r="33" spans="1:12">
      <c r="A33" t="s">
        <v>419</v>
      </c>
      <c r="B33">
        <v>2</v>
      </c>
      <c r="C33" t="s">
        <v>142</v>
      </c>
      <c r="D33" t="s">
        <v>142</v>
      </c>
    </row>
    <row r="34" spans="1:12">
      <c r="B34">
        <v>3</v>
      </c>
      <c r="C34" t="s">
        <v>142</v>
      </c>
      <c r="D34" t="s">
        <v>142</v>
      </c>
      <c r="L34" t="s">
        <v>142</v>
      </c>
    </row>
    <row r="35" spans="1:12">
      <c r="B35">
        <v>4</v>
      </c>
      <c r="C35" t="s">
        <v>142</v>
      </c>
      <c r="D35" t="s">
        <v>142</v>
      </c>
    </row>
    <row r="36" spans="1:12">
      <c r="B36">
        <v>6</v>
      </c>
      <c r="C36" t="s">
        <v>142</v>
      </c>
      <c r="D36" t="s">
        <v>142</v>
      </c>
    </row>
    <row r="37" spans="1:12">
      <c r="B37">
        <v>1</v>
      </c>
      <c r="C37" t="s">
        <v>142</v>
      </c>
      <c r="D37" t="s">
        <v>142</v>
      </c>
    </row>
    <row r="38" spans="1:12">
      <c r="B38">
        <v>5</v>
      </c>
      <c r="C38" t="s">
        <v>142</v>
      </c>
      <c r="D38" t="s">
        <v>142</v>
      </c>
    </row>
    <row r="39" spans="1:12">
      <c r="B39">
        <v>7</v>
      </c>
      <c r="C39" t="s">
        <v>142</v>
      </c>
      <c r="D39" t="s">
        <v>142</v>
      </c>
    </row>
    <row r="40" spans="1:12">
      <c r="A40" t="s">
        <v>420</v>
      </c>
      <c r="B40" t="s">
        <v>138</v>
      </c>
      <c r="C40" t="s">
        <v>142</v>
      </c>
    </row>
    <row r="41" spans="1:12">
      <c r="B41" t="s">
        <v>421</v>
      </c>
      <c r="C41" t="s">
        <v>142</v>
      </c>
    </row>
    <row r="42" spans="1:12">
      <c r="B42" t="s">
        <v>422</v>
      </c>
      <c r="C42" t="s">
        <v>142</v>
      </c>
    </row>
    <row r="43" spans="1:12">
      <c r="B43">
        <v>1</v>
      </c>
      <c r="C43" t="s">
        <v>142</v>
      </c>
    </row>
    <row r="44" spans="1:12">
      <c r="B44">
        <v>3</v>
      </c>
      <c r="C44" t="s">
        <v>142</v>
      </c>
    </row>
    <row r="45" spans="1:12">
      <c r="B45">
        <v>7</v>
      </c>
      <c r="C45" t="s">
        <v>142</v>
      </c>
    </row>
    <row r="46" spans="1:12">
      <c r="B46">
        <v>4</v>
      </c>
      <c r="C46" t="s">
        <v>142</v>
      </c>
    </row>
    <row r="47" spans="1:12">
      <c r="B47">
        <v>15</v>
      </c>
      <c r="C47" t="s">
        <v>142</v>
      </c>
    </row>
    <row r="48" spans="1:12">
      <c r="B48">
        <v>6</v>
      </c>
      <c r="C48" t="s">
        <v>142</v>
      </c>
    </row>
    <row r="49" spans="1:13">
      <c r="A49" t="s">
        <v>423</v>
      </c>
      <c r="B49">
        <v>5</v>
      </c>
      <c r="C49" t="s">
        <v>142</v>
      </c>
      <c r="E49" t="s">
        <v>142</v>
      </c>
    </row>
    <row r="50" spans="1:13">
      <c r="B50">
        <v>6</v>
      </c>
      <c r="C50" t="s">
        <v>142</v>
      </c>
      <c r="E50" t="s">
        <v>142</v>
      </c>
    </row>
    <row r="51" spans="1:13">
      <c r="B51">
        <v>7</v>
      </c>
      <c r="C51" t="s">
        <v>142</v>
      </c>
      <c r="E51" t="s">
        <v>142</v>
      </c>
    </row>
    <row r="52" spans="1:13">
      <c r="B52">
        <v>1</v>
      </c>
      <c r="C52" t="s">
        <v>142</v>
      </c>
      <c r="E52" t="s">
        <v>142</v>
      </c>
    </row>
    <row r="53" spans="1:13">
      <c r="B53">
        <v>2</v>
      </c>
      <c r="C53" t="s">
        <v>142</v>
      </c>
      <c r="E53" t="s">
        <v>142</v>
      </c>
    </row>
    <row r="54" spans="1:13">
      <c r="B54">
        <v>3</v>
      </c>
      <c r="C54" t="s">
        <v>142</v>
      </c>
      <c r="E54" t="s">
        <v>142</v>
      </c>
      <c r="F54" t="s">
        <v>142</v>
      </c>
    </row>
    <row r="55" spans="1:13">
      <c r="B55">
        <v>9</v>
      </c>
      <c r="C55" t="s">
        <v>142</v>
      </c>
      <c r="E55" t="s">
        <v>142</v>
      </c>
      <c r="F55" t="s">
        <v>142</v>
      </c>
      <c r="J55" t="s">
        <v>142</v>
      </c>
      <c r="L55" t="s">
        <v>142</v>
      </c>
    </row>
    <row r="56" spans="1:13">
      <c r="B56">
        <v>4</v>
      </c>
      <c r="C56" t="s">
        <v>142</v>
      </c>
      <c r="E56" t="s">
        <v>142</v>
      </c>
      <c r="F56" t="s">
        <v>142</v>
      </c>
    </row>
    <row r="57" spans="1:13">
      <c r="A57" t="s">
        <v>424</v>
      </c>
      <c r="B57">
        <v>1</v>
      </c>
      <c r="C57" t="s">
        <v>142</v>
      </c>
      <c r="D57" t="s">
        <v>142</v>
      </c>
    </row>
    <row r="58" spans="1:13">
      <c r="B58">
        <v>2</v>
      </c>
      <c r="C58" t="s">
        <v>142</v>
      </c>
    </row>
    <row r="59" spans="1:13">
      <c r="B59">
        <v>6</v>
      </c>
      <c r="C59" t="s">
        <v>142</v>
      </c>
      <c r="E59" t="s">
        <v>142</v>
      </c>
    </row>
    <row r="60" spans="1:13">
      <c r="B60">
        <v>3</v>
      </c>
      <c r="C60" t="s">
        <v>142</v>
      </c>
      <c r="E60" t="s">
        <v>142</v>
      </c>
    </row>
    <row r="61" spans="1:13">
      <c r="B61">
        <v>7</v>
      </c>
      <c r="C61" t="s">
        <v>142</v>
      </c>
      <c r="E61" t="s">
        <v>142</v>
      </c>
      <c r="J61" t="s">
        <v>142</v>
      </c>
    </row>
    <row r="62" spans="1:13">
      <c r="A62" t="s">
        <v>425</v>
      </c>
      <c r="B62">
        <v>1</v>
      </c>
      <c r="C62" t="s">
        <v>142</v>
      </c>
      <c r="M62" t="s">
        <v>142</v>
      </c>
    </row>
    <row r="63" spans="1:13">
      <c r="B63">
        <v>2</v>
      </c>
      <c r="C63" t="s">
        <v>142</v>
      </c>
      <c r="E63" t="s">
        <v>142</v>
      </c>
      <c r="M63" t="s">
        <v>142</v>
      </c>
    </row>
    <row r="64" spans="1:13">
      <c r="B64">
        <v>3</v>
      </c>
      <c r="C64" t="s">
        <v>142</v>
      </c>
      <c r="E64" t="s">
        <v>142</v>
      </c>
      <c r="M64" t="s">
        <v>142</v>
      </c>
    </row>
    <row r="65" spans="1:13">
      <c r="B65">
        <v>6</v>
      </c>
      <c r="C65" t="s">
        <v>142</v>
      </c>
      <c r="E65" t="s">
        <v>142</v>
      </c>
      <c r="M65" t="s">
        <v>142</v>
      </c>
    </row>
    <row r="66" spans="1:13">
      <c r="B66">
        <v>4</v>
      </c>
      <c r="C66" t="s">
        <v>142</v>
      </c>
      <c r="E66" t="s">
        <v>142</v>
      </c>
      <c r="M66" t="s">
        <v>142</v>
      </c>
    </row>
    <row r="67" spans="1:13">
      <c r="B67">
        <v>5</v>
      </c>
      <c r="C67" t="s">
        <v>142</v>
      </c>
      <c r="E67" t="s">
        <v>142</v>
      </c>
    </row>
    <row r="68" spans="1:13">
      <c r="B68">
        <v>7</v>
      </c>
      <c r="C68" t="s">
        <v>142</v>
      </c>
      <c r="E68" t="s">
        <v>142</v>
      </c>
    </row>
    <row r="69" spans="1:13">
      <c r="B69">
        <v>8</v>
      </c>
      <c r="C69" t="s">
        <v>142</v>
      </c>
      <c r="E69" t="s">
        <v>142</v>
      </c>
    </row>
    <row r="70" spans="1:13">
      <c r="A70" t="s">
        <v>426</v>
      </c>
      <c r="B70">
        <v>2</v>
      </c>
      <c r="C70" t="s">
        <v>142</v>
      </c>
      <c r="D70" t="s">
        <v>142</v>
      </c>
    </row>
    <row r="71" spans="1:13">
      <c r="B71">
        <v>1</v>
      </c>
      <c r="C71" t="s">
        <v>142</v>
      </c>
      <c r="D71" t="s">
        <v>142</v>
      </c>
    </row>
    <row r="72" spans="1:13">
      <c r="B72">
        <v>3</v>
      </c>
      <c r="C72" t="s">
        <v>142</v>
      </c>
      <c r="D72" t="s">
        <v>142</v>
      </c>
    </row>
    <row r="73" spans="1:13">
      <c r="B73">
        <v>4</v>
      </c>
      <c r="C73" t="s">
        <v>142</v>
      </c>
      <c r="D73" t="s">
        <v>142</v>
      </c>
    </row>
    <row r="74" spans="1:13">
      <c r="B74">
        <v>11</v>
      </c>
      <c r="C74" t="s">
        <v>142</v>
      </c>
      <c r="J74" t="s">
        <v>142</v>
      </c>
    </row>
    <row r="75" spans="1:13">
      <c r="B75">
        <v>10</v>
      </c>
      <c r="C75" t="s">
        <v>142</v>
      </c>
    </row>
    <row r="76" spans="1:13">
      <c r="B76">
        <v>9</v>
      </c>
      <c r="C76" t="s">
        <v>142</v>
      </c>
    </row>
    <row r="77" spans="1:13">
      <c r="B77">
        <v>5</v>
      </c>
      <c r="C77" t="s">
        <v>142</v>
      </c>
    </row>
    <row r="78" spans="1:13">
      <c r="B78">
        <v>6</v>
      </c>
      <c r="C78" t="s">
        <v>142</v>
      </c>
    </row>
    <row r="79" spans="1:13">
      <c r="B79">
        <v>7</v>
      </c>
      <c r="C79" t="s">
        <v>142</v>
      </c>
    </row>
    <row r="80" spans="1:13">
      <c r="B80">
        <v>8</v>
      </c>
      <c r="C80" t="s">
        <v>142</v>
      </c>
      <c r="E80" t="s">
        <v>142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B1D57-1063-4946-A28A-1CB0B6DE9E6E}">
  <dimension ref="A1:M18"/>
  <sheetViews>
    <sheetView workbookViewId="0">
      <selection activeCell="K16" sqref="K16"/>
    </sheetView>
  </sheetViews>
  <sheetFormatPr defaultRowHeight="14.4"/>
  <sheetData>
    <row r="1" spans="1:13">
      <c r="C1" t="s">
        <v>19</v>
      </c>
      <c r="D1" t="s">
        <v>20</v>
      </c>
      <c r="E1" t="s">
        <v>22</v>
      </c>
      <c r="F1" t="s">
        <v>21</v>
      </c>
      <c r="G1" t="s">
        <v>23</v>
      </c>
      <c r="H1" t="s">
        <v>24</v>
      </c>
      <c r="I1" t="s">
        <v>28</v>
      </c>
      <c r="J1" t="s">
        <v>26</v>
      </c>
      <c r="K1" t="s">
        <v>30</v>
      </c>
      <c r="L1" t="s">
        <v>32</v>
      </c>
      <c r="M1" t="s">
        <v>29</v>
      </c>
    </row>
    <row r="2" spans="1:13">
      <c r="A2" t="s">
        <v>413</v>
      </c>
      <c r="B2">
        <v>1</v>
      </c>
      <c r="C2" t="s">
        <v>142</v>
      </c>
      <c r="F2" t="s">
        <v>142</v>
      </c>
      <c r="G2" t="s">
        <v>142</v>
      </c>
      <c r="H2" t="s">
        <v>142</v>
      </c>
    </row>
    <row r="3" spans="1:13">
      <c r="B3">
        <v>2</v>
      </c>
      <c r="C3" t="s">
        <v>142</v>
      </c>
      <c r="F3" t="s">
        <v>142</v>
      </c>
      <c r="G3" t="s">
        <v>142</v>
      </c>
      <c r="H3" t="s">
        <v>142</v>
      </c>
    </row>
    <row r="4" spans="1:13">
      <c r="B4">
        <v>3</v>
      </c>
      <c r="C4" t="s">
        <v>142</v>
      </c>
      <c r="F4" t="s">
        <v>142</v>
      </c>
      <c r="G4" t="s">
        <v>142</v>
      </c>
      <c r="H4" t="s">
        <v>142</v>
      </c>
    </row>
    <row r="5" spans="1:13">
      <c r="B5">
        <v>5</v>
      </c>
      <c r="C5" t="s">
        <v>142</v>
      </c>
      <c r="F5" t="s">
        <v>142</v>
      </c>
      <c r="G5" t="s">
        <v>142</v>
      </c>
      <c r="H5" t="s">
        <v>142</v>
      </c>
    </row>
    <row r="6" spans="1:13">
      <c r="B6">
        <v>8</v>
      </c>
      <c r="C6" t="s">
        <v>142</v>
      </c>
      <c r="F6" t="s">
        <v>142</v>
      </c>
      <c r="G6" t="s">
        <v>142</v>
      </c>
      <c r="H6" t="s">
        <v>142</v>
      </c>
    </row>
    <row r="7" spans="1:13">
      <c r="B7">
        <v>9</v>
      </c>
      <c r="C7" t="s">
        <v>142</v>
      </c>
      <c r="F7" t="s">
        <v>142</v>
      </c>
      <c r="G7" t="s">
        <v>142</v>
      </c>
      <c r="H7" t="s">
        <v>142</v>
      </c>
    </row>
    <row r="8" spans="1:13">
      <c r="B8">
        <v>4</v>
      </c>
      <c r="C8" t="s">
        <v>142</v>
      </c>
      <c r="F8" t="s">
        <v>142</v>
      </c>
      <c r="G8" t="s">
        <v>142</v>
      </c>
    </row>
    <row r="9" spans="1:13">
      <c r="B9" t="s">
        <v>414</v>
      </c>
      <c r="C9" t="s">
        <v>142</v>
      </c>
      <c r="F9" t="s">
        <v>142</v>
      </c>
      <c r="G9" t="s">
        <v>142</v>
      </c>
    </row>
    <row r="10" spans="1:13">
      <c r="B10" t="s">
        <v>132</v>
      </c>
      <c r="C10" t="s">
        <v>142</v>
      </c>
      <c r="F10" t="s">
        <v>142</v>
      </c>
      <c r="G10" t="s">
        <v>142</v>
      </c>
    </row>
    <row r="11" spans="1:13">
      <c r="B11" t="s">
        <v>131</v>
      </c>
      <c r="C11" t="s">
        <v>142</v>
      </c>
      <c r="F11" t="s">
        <v>142</v>
      </c>
      <c r="G11" t="s">
        <v>142</v>
      </c>
    </row>
    <row r="12" spans="1:13">
      <c r="A12" t="s">
        <v>415</v>
      </c>
      <c r="B12">
        <v>3</v>
      </c>
      <c r="C12" t="s">
        <v>142</v>
      </c>
      <c r="D12" t="s">
        <v>142</v>
      </c>
      <c r="F12" t="s">
        <v>142</v>
      </c>
      <c r="I12" t="s">
        <v>142</v>
      </c>
    </row>
    <row r="13" spans="1:13">
      <c r="B13">
        <v>6</v>
      </c>
      <c r="C13" t="s">
        <v>142</v>
      </c>
      <c r="D13" t="s">
        <v>142</v>
      </c>
      <c r="F13" t="s">
        <v>142</v>
      </c>
      <c r="I13" t="s">
        <v>142</v>
      </c>
    </row>
    <row r="14" spans="1:13">
      <c r="B14">
        <v>9</v>
      </c>
      <c r="C14" t="s">
        <v>142</v>
      </c>
      <c r="D14" t="s">
        <v>142</v>
      </c>
      <c r="F14" t="s">
        <v>142</v>
      </c>
      <c r="I14" t="s">
        <v>142</v>
      </c>
    </row>
    <row r="15" spans="1:13">
      <c r="B15">
        <v>7</v>
      </c>
      <c r="C15" t="s">
        <v>142</v>
      </c>
      <c r="D15" t="s">
        <v>142</v>
      </c>
      <c r="F15" t="s">
        <v>142</v>
      </c>
      <c r="I15" t="s">
        <v>142</v>
      </c>
    </row>
    <row r="16" spans="1:13">
      <c r="B16">
        <v>1</v>
      </c>
      <c r="C16" t="s">
        <v>142</v>
      </c>
      <c r="D16" t="s">
        <v>142</v>
      </c>
      <c r="F16" t="s">
        <v>142</v>
      </c>
    </row>
    <row r="17" spans="2:10">
      <c r="B17">
        <v>4</v>
      </c>
      <c r="C17" t="s">
        <v>142</v>
      </c>
      <c r="D17" t="s">
        <v>142</v>
      </c>
      <c r="F17" t="s">
        <v>142</v>
      </c>
    </row>
    <row r="18" spans="2:10">
      <c r="B18" t="s">
        <v>133</v>
      </c>
      <c r="C18" t="s">
        <v>142</v>
      </c>
      <c r="D18" t="s">
        <v>142</v>
      </c>
      <c r="F18" t="s">
        <v>142</v>
      </c>
      <c r="J18" t="s">
        <v>142</v>
      </c>
    </row>
  </sheetData>
  <conditionalFormatting sqref="O11">
    <cfRule type="duplicateValues" dxfId="0" priority="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681A2-B229-4B98-A789-D02E68F46583}">
  <dimension ref="A1:Q62"/>
  <sheetViews>
    <sheetView workbookViewId="0">
      <selection sqref="A1:XFD1048576"/>
    </sheetView>
  </sheetViews>
  <sheetFormatPr defaultRowHeight="14.4"/>
  <cols>
    <col min="1" max="1" width="9.109375" customWidth="1"/>
    <col min="2" max="3" width="3.88671875" customWidth="1"/>
    <col min="4" max="5" width="4.6640625" customWidth="1"/>
    <col min="6" max="6" width="4.44140625" customWidth="1"/>
    <col min="7" max="7" width="4.109375" customWidth="1"/>
    <col min="8" max="8" width="3.88671875" customWidth="1"/>
    <col min="9" max="9" width="3.6640625" customWidth="1"/>
    <col min="10" max="10" width="3.6640625" style="51" customWidth="1"/>
    <col min="11" max="11" width="4.6640625" style="51" customWidth="1"/>
    <col min="12" max="12" width="3.6640625" style="51" customWidth="1"/>
    <col min="13" max="13" width="3.44140625" style="51" customWidth="1"/>
    <col min="14" max="14" width="3.109375" style="51" customWidth="1"/>
    <col min="15" max="15" width="2.88671875" style="51" customWidth="1"/>
    <col min="16" max="16" width="3.33203125" style="51" customWidth="1"/>
    <col min="17" max="17" width="8.6640625" style="51"/>
  </cols>
  <sheetData>
    <row r="1" spans="1:17">
      <c r="C1" t="s">
        <v>427</v>
      </c>
      <c r="D1" t="s">
        <v>34</v>
      </c>
      <c r="E1" t="s">
        <v>35</v>
      </c>
      <c r="F1" t="s">
        <v>36</v>
      </c>
      <c r="G1" t="s">
        <v>37</v>
      </c>
      <c r="H1" t="s">
        <v>38</v>
      </c>
      <c r="I1" t="s">
        <v>39</v>
      </c>
      <c r="J1" s="51" t="s">
        <v>428</v>
      </c>
      <c r="K1" s="51" t="s">
        <v>41</v>
      </c>
      <c r="L1" s="51" t="s">
        <v>42</v>
      </c>
      <c r="M1" s="51" t="s">
        <v>43</v>
      </c>
      <c r="N1" s="51" t="s">
        <v>44</v>
      </c>
      <c r="O1" s="51" t="s">
        <v>45</v>
      </c>
      <c r="P1" s="51" t="s">
        <v>46</v>
      </c>
    </row>
    <row r="2" spans="1:17">
      <c r="A2" t="s">
        <v>413</v>
      </c>
      <c r="B2">
        <v>1</v>
      </c>
      <c r="C2" t="s">
        <v>142</v>
      </c>
      <c r="D2" t="s">
        <v>142</v>
      </c>
      <c r="G2" t="s">
        <v>142</v>
      </c>
      <c r="H2" t="s">
        <v>142</v>
      </c>
      <c r="I2" t="s">
        <v>142</v>
      </c>
    </row>
    <row r="3" spans="1:17">
      <c r="B3">
        <v>2</v>
      </c>
      <c r="C3" t="s">
        <v>142</v>
      </c>
      <c r="D3" t="s">
        <v>142</v>
      </c>
      <c r="G3" t="s">
        <v>142</v>
      </c>
      <c r="H3" t="s">
        <v>142</v>
      </c>
      <c r="I3" t="s">
        <v>142</v>
      </c>
    </row>
    <row r="4" spans="1:17">
      <c r="B4">
        <v>3</v>
      </c>
      <c r="C4" t="s">
        <v>142</v>
      </c>
      <c r="D4" t="s">
        <v>142</v>
      </c>
      <c r="G4" t="s">
        <v>142</v>
      </c>
      <c r="I4" t="s">
        <v>142</v>
      </c>
    </row>
    <row r="5" spans="1:17">
      <c r="B5">
        <v>4</v>
      </c>
      <c r="D5" t="s">
        <v>142</v>
      </c>
    </row>
    <row r="6" spans="1:17">
      <c r="B6">
        <v>5</v>
      </c>
      <c r="C6" t="s">
        <v>142</v>
      </c>
      <c r="D6" t="s">
        <v>142</v>
      </c>
      <c r="G6" t="s">
        <v>142</v>
      </c>
      <c r="I6" t="s">
        <v>142</v>
      </c>
      <c r="J6" s="51" t="s">
        <v>142</v>
      </c>
      <c r="M6" s="51" t="s">
        <v>142</v>
      </c>
      <c r="N6" s="51" t="s">
        <v>142</v>
      </c>
    </row>
    <row r="7" spans="1:17">
      <c r="B7">
        <v>9</v>
      </c>
      <c r="C7" t="s">
        <v>142</v>
      </c>
      <c r="D7" t="s">
        <v>142</v>
      </c>
      <c r="G7" t="s">
        <v>142</v>
      </c>
      <c r="I7" t="s">
        <v>142</v>
      </c>
      <c r="J7" s="51" t="s">
        <v>142</v>
      </c>
      <c r="M7" s="51" t="s">
        <v>142</v>
      </c>
    </row>
    <row r="8" spans="1:17">
      <c r="B8" t="s">
        <v>414</v>
      </c>
      <c r="C8" t="s">
        <v>142</v>
      </c>
      <c r="D8" t="s">
        <v>142</v>
      </c>
      <c r="E8" t="s">
        <v>142</v>
      </c>
      <c r="I8" t="s">
        <v>142</v>
      </c>
      <c r="K8" s="51" t="s">
        <v>142</v>
      </c>
      <c r="M8" s="51" t="s">
        <v>142</v>
      </c>
      <c r="O8" s="51" t="s">
        <v>142</v>
      </c>
    </row>
    <row r="9" spans="1:17">
      <c r="B9" t="s">
        <v>132</v>
      </c>
      <c r="C9" t="s">
        <v>142</v>
      </c>
      <c r="D9" t="s">
        <v>142</v>
      </c>
      <c r="E9" t="s">
        <v>142</v>
      </c>
      <c r="F9" t="s">
        <v>142</v>
      </c>
      <c r="I9" t="s">
        <v>142</v>
      </c>
      <c r="M9" s="51" t="s">
        <v>142</v>
      </c>
      <c r="O9" s="51" t="s">
        <v>142</v>
      </c>
    </row>
    <row r="10" spans="1:17">
      <c r="B10" t="s">
        <v>131</v>
      </c>
      <c r="C10" t="s">
        <v>142</v>
      </c>
      <c r="D10" t="s">
        <v>142</v>
      </c>
      <c r="I10" t="s">
        <v>142</v>
      </c>
      <c r="L10" s="51" t="s">
        <v>142</v>
      </c>
      <c r="M10" s="51" t="s">
        <v>142</v>
      </c>
      <c r="O10" s="51" t="s">
        <v>142</v>
      </c>
    </row>
    <row r="11" spans="1:17" s="25" customFormat="1">
      <c r="A11" s="24" t="s">
        <v>415</v>
      </c>
      <c r="B11" s="25">
        <v>3</v>
      </c>
      <c r="C11" s="25" t="s">
        <v>142</v>
      </c>
      <c r="D11" t="s">
        <v>142</v>
      </c>
      <c r="G11" t="s">
        <v>142</v>
      </c>
      <c r="J11" s="52" t="s">
        <v>142</v>
      </c>
      <c r="K11" s="52"/>
      <c r="L11" s="52"/>
      <c r="M11" s="52" t="s">
        <v>142</v>
      </c>
      <c r="N11" s="52" t="s">
        <v>142</v>
      </c>
      <c r="O11" s="52" t="s">
        <v>142</v>
      </c>
      <c r="P11" s="52"/>
      <c r="Q11" s="52"/>
    </row>
    <row r="12" spans="1:17">
      <c r="A12" s="53"/>
      <c r="B12">
        <v>4</v>
      </c>
      <c r="C12" t="s">
        <v>142</v>
      </c>
      <c r="D12" t="s">
        <v>142</v>
      </c>
      <c r="G12" t="s">
        <v>142</v>
      </c>
      <c r="H12" t="s">
        <v>142</v>
      </c>
      <c r="J12" s="51" t="s">
        <v>142</v>
      </c>
      <c r="M12" s="51" t="s">
        <v>142</v>
      </c>
      <c r="N12" s="51" t="s">
        <v>142</v>
      </c>
      <c r="O12" s="51" t="s">
        <v>142</v>
      </c>
    </row>
    <row r="13" spans="1:17">
      <c r="A13" s="53"/>
      <c r="B13">
        <v>6</v>
      </c>
      <c r="C13" t="s">
        <v>142</v>
      </c>
      <c r="D13" t="s">
        <v>142</v>
      </c>
      <c r="G13" t="s">
        <v>142</v>
      </c>
      <c r="J13" s="51" t="s">
        <v>142</v>
      </c>
      <c r="M13" s="51" t="s">
        <v>142</v>
      </c>
      <c r="N13" s="51" t="s">
        <v>142</v>
      </c>
      <c r="O13" s="51" t="s">
        <v>142</v>
      </c>
    </row>
    <row r="14" spans="1:17">
      <c r="A14" s="53"/>
      <c r="B14">
        <v>9</v>
      </c>
      <c r="C14" t="s">
        <v>142</v>
      </c>
      <c r="D14" t="s">
        <v>142</v>
      </c>
      <c r="G14" t="s">
        <v>142</v>
      </c>
      <c r="J14" s="51" t="s">
        <v>142</v>
      </c>
      <c r="M14" s="51" t="s">
        <v>142</v>
      </c>
      <c r="N14" s="51" t="s">
        <v>142</v>
      </c>
      <c r="O14" s="51" t="s">
        <v>142</v>
      </c>
    </row>
    <row r="15" spans="1:17" s="28" customFormat="1">
      <c r="A15" s="27"/>
      <c r="B15" s="28" t="s">
        <v>133</v>
      </c>
      <c r="D15" t="s">
        <v>142</v>
      </c>
      <c r="G15" t="s">
        <v>142</v>
      </c>
      <c r="H15" s="28" t="s">
        <v>142</v>
      </c>
      <c r="J15" s="54"/>
      <c r="K15" s="54"/>
      <c r="L15" s="54" t="s">
        <v>142</v>
      </c>
      <c r="M15" s="54"/>
      <c r="N15" s="54"/>
      <c r="O15" s="54"/>
      <c r="P15" s="54"/>
      <c r="Q15" s="54"/>
    </row>
    <row r="16" spans="1:17">
      <c r="A16" t="s">
        <v>416</v>
      </c>
      <c r="B16">
        <v>1</v>
      </c>
      <c r="C16" t="s">
        <v>142</v>
      </c>
      <c r="D16" t="s">
        <v>142</v>
      </c>
      <c r="L16" s="51" t="s">
        <v>142</v>
      </c>
    </row>
    <row r="17" spans="1:17">
      <c r="B17">
        <v>2</v>
      </c>
      <c r="D17" t="s">
        <v>142</v>
      </c>
      <c r="L17" s="51" t="s">
        <v>142</v>
      </c>
    </row>
    <row r="18" spans="1:17">
      <c r="B18">
        <v>3</v>
      </c>
      <c r="C18" t="s">
        <v>142</v>
      </c>
      <c r="D18" t="s">
        <v>142</v>
      </c>
      <c r="L18" s="51" t="s">
        <v>142</v>
      </c>
    </row>
    <row r="19" spans="1:17">
      <c r="B19">
        <v>4</v>
      </c>
      <c r="D19" t="s">
        <v>142</v>
      </c>
      <c r="L19" s="51" t="s">
        <v>142</v>
      </c>
    </row>
    <row r="20" spans="1:17">
      <c r="B20">
        <v>7</v>
      </c>
      <c r="C20" t="s">
        <v>142</v>
      </c>
      <c r="D20" t="s">
        <v>142</v>
      </c>
      <c r="L20" s="51" t="s">
        <v>142</v>
      </c>
    </row>
    <row r="21" spans="1:17">
      <c r="B21">
        <v>9</v>
      </c>
      <c r="D21" t="s">
        <v>142</v>
      </c>
      <c r="H21" t="s">
        <v>142</v>
      </c>
      <c r="J21" s="51" t="s">
        <v>142</v>
      </c>
      <c r="L21" s="51" t="s">
        <v>142</v>
      </c>
    </row>
    <row r="22" spans="1:17" s="25" customFormat="1">
      <c r="A22" s="24" t="s">
        <v>419</v>
      </c>
      <c r="B22" s="25">
        <v>1</v>
      </c>
      <c r="D22" t="s">
        <v>142</v>
      </c>
      <c r="E22" t="s">
        <v>142</v>
      </c>
      <c r="F22" s="25" t="s">
        <v>142</v>
      </c>
      <c r="J22" s="52"/>
      <c r="K22" s="52"/>
      <c r="L22" s="52" t="s">
        <v>142</v>
      </c>
      <c r="M22" s="52"/>
      <c r="N22" s="52"/>
      <c r="O22" s="52"/>
      <c r="P22" s="52"/>
      <c r="Q22" s="52"/>
    </row>
    <row r="23" spans="1:17">
      <c r="A23" s="53"/>
      <c r="B23">
        <v>2</v>
      </c>
      <c r="D23" t="s">
        <v>142</v>
      </c>
      <c r="E23" t="s">
        <v>142</v>
      </c>
      <c r="F23" t="s">
        <v>142</v>
      </c>
      <c r="I23" t="s">
        <v>142</v>
      </c>
      <c r="L23" s="51" t="s">
        <v>142</v>
      </c>
    </row>
    <row r="24" spans="1:17">
      <c r="A24" s="53"/>
      <c r="B24">
        <v>3</v>
      </c>
      <c r="D24" t="s">
        <v>142</v>
      </c>
      <c r="E24" t="s">
        <v>142</v>
      </c>
    </row>
    <row r="25" spans="1:17">
      <c r="A25" s="53"/>
      <c r="B25">
        <v>4</v>
      </c>
      <c r="D25" t="s">
        <v>142</v>
      </c>
      <c r="E25" t="s">
        <v>142</v>
      </c>
      <c r="H25" t="s">
        <v>142</v>
      </c>
    </row>
    <row r="26" spans="1:17">
      <c r="A26" s="53"/>
      <c r="B26">
        <v>5</v>
      </c>
      <c r="D26" t="s">
        <v>142</v>
      </c>
      <c r="E26" t="s">
        <v>142</v>
      </c>
    </row>
    <row r="27" spans="1:17">
      <c r="A27" s="53"/>
      <c r="B27">
        <v>6</v>
      </c>
      <c r="D27" t="s">
        <v>142</v>
      </c>
      <c r="E27" t="s">
        <v>142</v>
      </c>
    </row>
    <row r="28" spans="1:17" s="28" customFormat="1">
      <c r="A28" s="27"/>
      <c r="B28" s="28">
        <v>7</v>
      </c>
      <c r="D28" t="s">
        <v>142</v>
      </c>
      <c r="E28" t="s">
        <v>142</v>
      </c>
      <c r="J28" s="54"/>
      <c r="K28" s="54"/>
      <c r="L28" s="54"/>
      <c r="M28" s="54"/>
      <c r="N28" s="54"/>
      <c r="O28" s="54"/>
      <c r="P28" s="54"/>
      <c r="Q28" s="54"/>
    </row>
    <row r="29" spans="1:17">
      <c r="A29" t="s">
        <v>420</v>
      </c>
      <c r="B29">
        <v>1</v>
      </c>
      <c r="D29" t="s">
        <v>142</v>
      </c>
      <c r="F29" t="s">
        <v>142</v>
      </c>
      <c r="G29" t="s">
        <v>142</v>
      </c>
      <c r="I29" t="s">
        <v>142</v>
      </c>
      <c r="L29" s="51" t="s">
        <v>142</v>
      </c>
    </row>
    <row r="30" spans="1:17">
      <c r="B30">
        <v>2</v>
      </c>
      <c r="C30" t="s">
        <v>142</v>
      </c>
      <c r="D30" t="s">
        <v>142</v>
      </c>
      <c r="G30" t="s">
        <v>142</v>
      </c>
      <c r="I30" t="s">
        <v>142</v>
      </c>
      <c r="L30" s="51" t="s">
        <v>142</v>
      </c>
    </row>
    <row r="31" spans="1:17">
      <c r="B31">
        <v>4</v>
      </c>
      <c r="C31" t="s">
        <v>142</v>
      </c>
      <c r="D31" t="s">
        <v>142</v>
      </c>
      <c r="F31" t="s">
        <v>142</v>
      </c>
      <c r="G31" t="s">
        <v>142</v>
      </c>
      <c r="I31" t="s">
        <v>142</v>
      </c>
      <c r="L31" s="51" t="s">
        <v>142</v>
      </c>
    </row>
    <row r="32" spans="1:17">
      <c r="B32">
        <v>6</v>
      </c>
      <c r="C32" t="s">
        <v>142</v>
      </c>
      <c r="D32" t="s">
        <v>142</v>
      </c>
      <c r="G32" t="s">
        <v>142</v>
      </c>
      <c r="I32" t="s">
        <v>142</v>
      </c>
      <c r="L32" s="51" t="s">
        <v>142</v>
      </c>
    </row>
    <row r="33" spans="1:17">
      <c r="B33">
        <v>7</v>
      </c>
      <c r="C33" t="s">
        <v>142</v>
      </c>
      <c r="D33" t="s">
        <v>142</v>
      </c>
      <c r="F33" t="s">
        <v>142</v>
      </c>
      <c r="G33" t="s">
        <v>142</v>
      </c>
      <c r="I33" t="s">
        <v>142</v>
      </c>
      <c r="L33" s="51" t="s">
        <v>142</v>
      </c>
    </row>
    <row r="34" spans="1:17">
      <c r="B34" t="s">
        <v>421</v>
      </c>
      <c r="D34" t="s">
        <v>142</v>
      </c>
      <c r="G34" t="s">
        <v>142</v>
      </c>
      <c r="I34" t="s">
        <v>142</v>
      </c>
      <c r="L34" s="51" t="s">
        <v>142</v>
      </c>
    </row>
    <row r="35" spans="1:17">
      <c r="B35">
        <v>15</v>
      </c>
      <c r="C35" t="s">
        <v>142</v>
      </c>
      <c r="D35" t="s">
        <v>142</v>
      </c>
      <c r="F35" t="s">
        <v>142</v>
      </c>
      <c r="G35" t="s">
        <v>142</v>
      </c>
      <c r="I35" t="s">
        <v>142</v>
      </c>
      <c r="L35" s="51" t="s">
        <v>142</v>
      </c>
    </row>
    <row r="36" spans="1:17" s="25" customFormat="1">
      <c r="A36" s="24" t="s">
        <v>423</v>
      </c>
      <c r="B36" s="25">
        <v>1</v>
      </c>
      <c r="D36" t="s">
        <v>142</v>
      </c>
      <c r="G36" s="25" t="s">
        <v>142</v>
      </c>
      <c r="I36" s="25" t="s">
        <v>142</v>
      </c>
      <c r="J36" s="52"/>
      <c r="K36" s="52"/>
      <c r="L36" s="52" t="s">
        <v>142</v>
      </c>
      <c r="M36" s="52"/>
      <c r="N36" s="52" t="s">
        <v>142</v>
      </c>
      <c r="O36" s="52" t="s">
        <v>142</v>
      </c>
      <c r="P36" s="52" t="s">
        <v>142</v>
      </c>
      <c r="Q36" s="52"/>
    </row>
    <row r="37" spans="1:17">
      <c r="A37" s="53"/>
      <c r="B37">
        <v>3</v>
      </c>
      <c r="D37" t="s">
        <v>142</v>
      </c>
      <c r="G37" t="s">
        <v>142</v>
      </c>
      <c r="H37" t="s">
        <v>142</v>
      </c>
      <c r="I37" t="s">
        <v>142</v>
      </c>
      <c r="L37" s="51" t="s">
        <v>142</v>
      </c>
      <c r="N37" s="51" t="s">
        <v>142</v>
      </c>
      <c r="P37" s="51" t="s">
        <v>142</v>
      </c>
    </row>
    <row r="38" spans="1:17">
      <c r="A38" s="53"/>
      <c r="B38">
        <v>6</v>
      </c>
      <c r="D38" t="s">
        <v>142</v>
      </c>
      <c r="G38" t="s">
        <v>142</v>
      </c>
      <c r="I38" t="s">
        <v>142</v>
      </c>
    </row>
    <row r="39" spans="1:17">
      <c r="A39" s="53"/>
      <c r="B39">
        <v>9</v>
      </c>
      <c r="D39" t="s">
        <v>142</v>
      </c>
    </row>
    <row r="40" spans="1:17" s="25" customFormat="1">
      <c r="A40" s="25" t="s">
        <v>424</v>
      </c>
      <c r="B40" s="25">
        <v>3</v>
      </c>
      <c r="D40" t="s">
        <v>142</v>
      </c>
      <c r="G40" s="25" t="s">
        <v>142</v>
      </c>
      <c r="I40" s="25" t="s">
        <v>142</v>
      </c>
      <c r="J40" s="52"/>
      <c r="K40" s="52"/>
      <c r="L40" s="52"/>
      <c r="M40" s="52"/>
      <c r="N40" s="52"/>
      <c r="O40" s="52" t="s">
        <v>142</v>
      </c>
      <c r="P40" s="52"/>
      <c r="Q40" s="52"/>
    </row>
    <row r="41" spans="1:17">
      <c r="B41">
        <v>6</v>
      </c>
      <c r="C41" t="s">
        <v>142</v>
      </c>
      <c r="D41" t="s">
        <v>142</v>
      </c>
      <c r="I41" t="s">
        <v>142</v>
      </c>
    </row>
    <row r="42" spans="1:17">
      <c r="B42">
        <v>7</v>
      </c>
      <c r="D42" t="s">
        <v>142</v>
      </c>
      <c r="G42" t="s">
        <v>142</v>
      </c>
      <c r="L42" s="51" t="s">
        <v>142</v>
      </c>
      <c r="M42" s="51" t="s">
        <v>142</v>
      </c>
      <c r="P42" s="51" t="s">
        <v>142</v>
      </c>
    </row>
    <row r="43" spans="1:17" s="25" customFormat="1">
      <c r="A43" s="24" t="s">
        <v>417</v>
      </c>
      <c r="B43" s="25" t="s">
        <v>418</v>
      </c>
      <c r="D43" t="s">
        <v>142</v>
      </c>
      <c r="J43" s="52"/>
      <c r="K43" s="52"/>
      <c r="L43" s="52" t="s">
        <v>142</v>
      </c>
      <c r="M43" s="52"/>
      <c r="N43" s="52"/>
      <c r="O43" s="52"/>
      <c r="P43" s="52"/>
      <c r="Q43" s="52"/>
    </row>
    <row r="44" spans="1:17">
      <c r="A44" s="53"/>
      <c r="B44">
        <v>2</v>
      </c>
      <c r="D44" t="s">
        <v>142</v>
      </c>
      <c r="E44" t="s">
        <v>142</v>
      </c>
      <c r="G44" t="s">
        <v>142</v>
      </c>
      <c r="H44" t="s">
        <v>142</v>
      </c>
      <c r="I44" t="s">
        <v>142</v>
      </c>
      <c r="J44" s="51" t="s">
        <v>142</v>
      </c>
      <c r="L44" s="51" t="s">
        <v>142</v>
      </c>
      <c r="M44" s="51" t="s">
        <v>142</v>
      </c>
      <c r="P44" s="51" t="s">
        <v>142</v>
      </c>
    </row>
    <row r="45" spans="1:17">
      <c r="A45" s="53"/>
      <c r="B45">
        <v>3</v>
      </c>
      <c r="D45" t="s">
        <v>142</v>
      </c>
      <c r="L45" s="51" t="s">
        <v>142</v>
      </c>
    </row>
    <row r="46" spans="1:17">
      <c r="A46" s="53"/>
      <c r="B46">
        <v>4</v>
      </c>
      <c r="D46" t="s">
        <v>142</v>
      </c>
      <c r="E46" t="s">
        <v>142</v>
      </c>
      <c r="F46" t="s">
        <v>142</v>
      </c>
      <c r="G46" t="s">
        <v>142</v>
      </c>
      <c r="H46" t="s">
        <v>142</v>
      </c>
      <c r="I46" t="s">
        <v>142</v>
      </c>
      <c r="J46" s="51" t="s">
        <v>142</v>
      </c>
      <c r="L46" s="51" t="s">
        <v>142</v>
      </c>
      <c r="M46" s="51" t="s">
        <v>142</v>
      </c>
      <c r="P46" s="51" t="s">
        <v>142</v>
      </c>
    </row>
    <row r="47" spans="1:17">
      <c r="A47" s="53"/>
      <c r="B47">
        <v>8</v>
      </c>
      <c r="D47" t="s">
        <v>142</v>
      </c>
      <c r="E47" t="s">
        <v>142</v>
      </c>
      <c r="G47" t="s">
        <v>142</v>
      </c>
      <c r="H47" t="s">
        <v>142</v>
      </c>
      <c r="I47" t="s">
        <v>142</v>
      </c>
      <c r="J47" s="51" t="s">
        <v>142</v>
      </c>
      <c r="K47" s="51" t="s">
        <v>142</v>
      </c>
      <c r="L47" s="51" t="s">
        <v>142</v>
      </c>
      <c r="M47" s="51" t="s">
        <v>142</v>
      </c>
      <c r="O47" s="51" t="s">
        <v>142</v>
      </c>
      <c r="P47" s="51" t="s">
        <v>142</v>
      </c>
    </row>
    <row r="48" spans="1:17" s="28" customFormat="1">
      <c r="A48" s="27"/>
      <c r="B48" s="28">
        <v>10</v>
      </c>
      <c r="D48" t="s">
        <v>142</v>
      </c>
      <c r="J48" s="54"/>
      <c r="K48" s="54"/>
      <c r="L48" s="54" t="s">
        <v>142</v>
      </c>
      <c r="M48" s="54"/>
      <c r="N48" s="54"/>
      <c r="O48" s="54"/>
      <c r="P48" s="54"/>
      <c r="Q48" s="54"/>
    </row>
    <row r="49" spans="1:17">
      <c r="A49" t="s">
        <v>425</v>
      </c>
      <c r="B49">
        <v>2</v>
      </c>
      <c r="D49" t="s">
        <v>142</v>
      </c>
      <c r="L49" s="51" t="s">
        <v>142</v>
      </c>
    </row>
    <row r="50" spans="1:17">
      <c r="B50">
        <v>4</v>
      </c>
      <c r="D50" t="s">
        <v>142</v>
      </c>
      <c r="L50" s="51" t="s">
        <v>142</v>
      </c>
      <c r="M50" s="51" t="s">
        <v>142</v>
      </c>
    </row>
    <row r="51" spans="1:17">
      <c r="B51">
        <v>5</v>
      </c>
      <c r="D51" t="s">
        <v>142</v>
      </c>
      <c r="L51" s="51" t="s">
        <v>142</v>
      </c>
      <c r="M51" s="51" t="s">
        <v>142</v>
      </c>
    </row>
    <row r="52" spans="1:17">
      <c r="B52">
        <v>6</v>
      </c>
      <c r="D52" t="s">
        <v>142</v>
      </c>
      <c r="L52" s="51" t="s">
        <v>142</v>
      </c>
      <c r="M52" s="51" t="s">
        <v>142</v>
      </c>
    </row>
    <row r="53" spans="1:17">
      <c r="B53">
        <v>7</v>
      </c>
      <c r="D53" t="s">
        <v>142</v>
      </c>
      <c r="L53" s="51" t="s">
        <v>142</v>
      </c>
      <c r="M53" s="51" t="s">
        <v>142</v>
      </c>
    </row>
    <row r="54" spans="1:17">
      <c r="B54">
        <v>8</v>
      </c>
      <c r="D54" t="s">
        <v>142</v>
      </c>
      <c r="G54" t="s">
        <v>142</v>
      </c>
      <c r="L54" s="51" t="s">
        <v>142</v>
      </c>
    </row>
    <row r="55" spans="1:17" s="25" customFormat="1">
      <c r="A55" s="24" t="s">
        <v>426</v>
      </c>
      <c r="B55" s="25">
        <v>1</v>
      </c>
      <c r="C55" s="25" t="s">
        <v>142</v>
      </c>
      <c r="D55" t="s">
        <v>142</v>
      </c>
      <c r="I55" t="s">
        <v>142</v>
      </c>
      <c r="J55" s="52" t="s">
        <v>142</v>
      </c>
      <c r="K55" s="52"/>
      <c r="L55" s="51" t="s">
        <v>142</v>
      </c>
      <c r="M55" s="52"/>
      <c r="N55" s="52"/>
      <c r="O55" s="52"/>
      <c r="P55" s="52"/>
      <c r="Q55" s="52"/>
    </row>
    <row r="56" spans="1:17">
      <c r="A56" s="53"/>
      <c r="B56">
        <v>2</v>
      </c>
      <c r="C56" t="s">
        <v>142</v>
      </c>
      <c r="D56" t="s">
        <v>142</v>
      </c>
      <c r="I56" t="s">
        <v>142</v>
      </c>
      <c r="J56" s="51" t="s">
        <v>142</v>
      </c>
      <c r="L56" s="51" t="s">
        <v>142</v>
      </c>
    </row>
    <row r="57" spans="1:17">
      <c r="A57" s="53"/>
      <c r="B57">
        <v>3</v>
      </c>
      <c r="C57" t="s">
        <v>142</v>
      </c>
      <c r="D57" t="s">
        <v>142</v>
      </c>
      <c r="I57" t="s">
        <v>142</v>
      </c>
      <c r="J57" s="51" t="s">
        <v>142</v>
      </c>
      <c r="L57" s="51" t="s">
        <v>142</v>
      </c>
    </row>
    <row r="58" spans="1:17">
      <c r="A58" s="53"/>
      <c r="B58">
        <v>4</v>
      </c>
      <c r="D58" t="s">
        <v>142</v>
      </c>
      <c r="I58" t="s">
        <v>142</v>
      </c>
      <c r="J58" s="51" t="s">
        <v>142</v>
      </c>
      <c r="L58" s="51" t="s">
        <v>142</v>
      </c>
    </row>
    <row r="59" spans="1:17">
      <c r="A59" s="53"/>
      <c r="B59">
        <v>5</v>
      </c>
      <c r="D59" t="s">
        <v>142</v>
      </c>
      <c r="I59" t="s">
        <v>142</v>
      </c>
      <c r="L59" s="51" t="s">
        <v>142</v>
      </c>
    </row>
    <row r="60" spans="1:17">
      <c r="A60" s="53"/>
      <c r="B60">
        <v>8</v>
      </c>
      <c r="D60" t="s">
        <v>142</v>
      </c>
      <c r="I60" t="s">
        <v>142</v>
      </c>
      <c r="L60" s="51" t="s">
        <v>142</v>
      </c>
    </row>
    <row r="61" spans="1:17">
      <c r="A61" s="53"/>
      <c r="B61">
        <v>10</v>
      </c>
      <c r="D61" t="s">
        <v>142</v>
      </c>
      <c r="I61" t="s">
        <v>142</v>
      </c>
      <c r="L61" s="51" t="s">
        <v>142</v>
      </c>
    </row>
    <row r="62" spans="1:17" s="28" customFormat="1">
      <c r="A62" s="27"/>
      <c r="B62" s="28">
        <v>11</v>
      </c>
      <c r="D62" t="s">
        <v>142</v>
      </c>
      <c r="J62" s="54"/>
      <c r="K62" s="54"/>
      <c r="L62" s="51" t="s">
        <v>142</v>
      </c>
      <c r="M62" s="54"/>
      <c r="N62" s="54"/>
      <c r="O62" s="54"/>
      <c r="P62" s="54"/>
      <c r="Q62" s="5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43780-A29F-4C58-AEB5-B4F50F272ABF}">
  <dimension ref="A1:H29"/>
  <sheetViews>
    <sheetView workbookViewId="0">
      <selection activeCell="E2" sqref="E2"/>
    </sheetView>
  </sheetViews>
  <sheetFormatPr defaultRowHeight="14.4"/>
  <cols>
    <col min="6" max="6" width="12.109375" style="19" bestFit="1" customWidth="1"/>
  </cols>
  <sheetData>
    <row r="1" spans="1:8" ht="101.4" thickBot="1">
      <c r="A1" s="10" t="s">
        <v>48</v>
      </c>
      <c r="B1" s="11" t="s">
        <v>49</v>
      </c>
      <c r="C1" s="11" t="s">
        <v>50</v>
      </c>
      <c r="D1" s="11" t="s">
        <v>51</v>
      </c>
      <c r="E1" s="11" t="s">
        <v>52</v>
      </c>
      <c r="F1" s="17"/>
      <c r="G1" s="11" t="s">
        <v>53</v>
      </c>
      <c r="H1" s="12" t="s">
        <v>54</v>
      </c>
    </row>
    <row r="2" spans="1:8" ht="34.200000000000003" thickBot="1">
      <c r="A2" s="13" t="s">
        <v>19</v>
      </c>
      <c r="B2" s="8">
        <v>19</v>
      </c>
      <c r="C2" s="8">
        <v>23</v>
      </c>
      <c r="D2" s="8">
        <v>42</v>
      </c>
      <c r="E2" s="8">
        <v>42</v>
      </c>
      <c r="F2" s="18">
        <v>0.39622641509433965</v>
      </c>
      <c r="G2" s="8" t="s">
        <v>55</v>
      </c>
      <c r="H2" s="8" t="s">
        <v>56</v>
      </c>
    </row>
    <row r="3" spans="1:8" ht="34.200000000000003" thickBot="1">
      <c r="A3" s="14" t="s">
        <v>20</v>
      </c>
      <c r="B3" s="9">
        <v>4</v>
      </c>
      <c r="C3" s="9">
        <v>24</v>
      </c>
      <c r="D3" s="9">
        <v>28</v>
      </c>
      <c r="E3" s="9">
        <v>28</v>
      </c>
      <c r="F3" s="18">
        <v>0.26415094339622641</v>
      </c>
      <c r="G3" s="9" t="s">
        <v>57</v>
      </c>
      <c r="H3" s="9" t="s">
        <v>58</v>
      </c>
    </row>
    <row r="4" spans="1:8" ht="34.200000000000003" thickBot="1">
      <c r="A4" s="14" t="s">
        <v>22</v>
      </c>
      <c r="B4" s="9">
        <v>3</v>
      </c>
      <c r="C4" s="9">
        <v>5</v>
      </c>
      <c r="D4" s="9">
        <v>8</v>
      </c>
      <c r="E4" s="9">
        <v>8</v>
      </c>
      <c r="F4" s="18">
        <v>7.5471698113207544E-2</v>
      </c>
      <c r="G4" s="9" t="s">
        <v>59</v>
      </c>
      <c r="H4" s="9" t="s">
        <v>60</v>
      </c>
    </row>
    <row r="5" spans="1:8" ht="34.200000000000003" thickBot="1">
      <c r="A5" s="14" t="s">
        <v>31</v>
      </c>
      <c r="B5" s="9">
        <v>5</v>
      </c>
      <c r="C5" s="9">
        <v>0</v>
      </c>
      <c r="D5" s="9">
        <v>5</v>
      </c>
      <c r="E5" s="9">
        <v>5</v>
      </c>
      <c r="F5" s="18">
        <v>4.716981132075472E-2</v>
      </c>
      <c r="G5" s="9" t="s">
        <v>61</v>
      </c>
      <c r="H5" s="9" t="s">
        <v>62</v>
      </c>
    </row>
    <row r="6" spans="1:8" ht="34.200000000000003" thickBot="1">
      <c r="A6" s="14" t="s">
        <v>21</v>
      </c>
      <c r="B6" s="9">
        <v>5</v>
      </c>
      <c r="C6" s="9">
        <v>7</v>
      </c>
      <c r="D6" s="9">
        <v>12</v>
      </c>
      <c r="E6" s="9">
        <v>12</v>
      </c>
      <c r="F6" s="18">
        <v>0.11320754716981132</v>
      </c>
      <c r="G6" s="9" t="s">
        <v>63</v>
      </c>
      <c r="H6" s="9" t="s">
        <v>64</v>
      </c>
    </row>
    <row r="7" spans="1:8" ht="34.200000000000003" thickBot="1">
      <c r="A7" s="14" t="s">
        <v>65</v>
      </c>
      <c r="B7" s="9">
        <v>4</v>
      </c>
      <c r="C7" s="9">
        <v>1</v>
      </c>
      <c r="D7" s="9">
        <v>5</v>
      </c>
      <c r="E7" s="9">
        <v>3</v>
      </c>
      <c r="F7" s="18">
        <v>2.8301886792452831E-2</v>
      </c>
      <c r="G7" s="9" t="s">
        <v>66</v>
      </c>
      <c r="H7" s="9" t="s">
        <v>67</v>
      </c>
    </row>
    <row r="8" spans="1:8" ht="34.200000000000003" thickBot="1">
      <c r="A8" s="14" t="s">
        <v>68</v>
      </c>
      <c r="B8" s="9">
        <v>6</v>
      </c>
      <c r="C8" s="9">
        <v>1</v>
      </c>
      <c r="D8" s="9">
        <v>7</v>
      </c>
      <c r="E8" s="9">
        <v>2</v>
      </c>
      <c r="F8" s="18">
        <v>1.8867924528301886E-2</v>
      </c>
      <c r="G8" s="9" t="s">
        <v>69</v>
      </c>
      <c r="H8" s="9" t="s">
        <v>70</v>
      </c>
    </row>
    <row r="9" spans="1:8" ht="34.200000000000003" thickBot="1">
      <c r="A9" s="14" t="s">
        <v>71</v>
      </c>
      <c r="B9" s="9">
        <v>3</v>
      </c>
      <c r="C9" s="9">
        <v>2</v>
      </c>
      <c r="D9" s="9">
        <v>5</v>
      </c>
      <c r="E9" s="9">
        <v>5</v>
      </c>
      <c r="F9" s="18">
        <v>4.716981132075472E-2</v>
      </c>
      <c r="G9" s="9" t="s">
        <v>72</v>
      </c>
      <c r="H9" s="9" t="s">
        <v>73</v>
      </c>
    </row>
    <row r="10" spans="1:8" ht="34.200000000000003" thickBot="1">
      <c r="A10" s="14" t="s">
        <v>74</v>
      </c>
      <c r="B10" s="9">
        <v>7</v>
      </c>
      <c r="C10" s="9">
        <v>1</v>
      </c>
      <c r="D10" s="9">
        <v>8</v>
      </c>
      <c r="E10" s="9">
        <v>6</v>
      </c>
      <c r="F10" s="18">
        <v>5.6603773584905662E-2</v>
      </c>
      <c r="G10" s="9" t="s">
        <v>75</v>
      </c>
      <c r="H10" s="9" t="s">
        <v>76</v>
      </c>
    </row>
    <row r="11" spans="1:8" ht="34.200000000000003" thickBot="1">
      <c r="A11" s="14" t="s">
        <v>77</v>
      </c>
      <c r="B11" s="9">
        <v>6</v>
      </c>
      <c r="C11" s="9">
        <v>0</v>
      </c>
      <c r="D11" s="9">
        <v>6</v>
      </c>
      <c r="E11" s="9">
        <v>6</v>
      </c>
      <c r="F11" s="18">
        <v>5.6603773584905662E-2</v>
      </c>
      <c r="G11" s="9" t="s">
        <v>78</v>
      </c>
      <c r="H11" s="9" t="s">
        <v>79</v>
      </c>
    </row>
    <row r="12" spans="1:8" ht="34.200000000000003" thickBot="1">
      <c r="A12" s="14" t="s">
        <v>80</v>
      </c>
      <c r="B12" s="9">
        <v>3</v>
      </c>
      <c r="C12" s="9">
        <v>0</v>
      </c>
      <c r="D12" s="9">
        <v>3</v>
      </c>
      <c r="E12" s="9">
        <v>3</v>
      </c>
      <c r="F12" s="18">
        <v>2.8301886792452831E-2</v>
      </c>
      <c r="G12" s="9" t="s">
        <v>81</v>
      </c>
      <c r="H12" s="9" t="s">
        <v>82</v>
      </c>
    </row>
    <row r="13" spans="1:8" ht="34.200000000000003" thickBot="1">
      <c r="A13" s="14" t="s">
        <v>83</v>
      </c>
      <c r="B13" s="9">
        <v>3</v>
      </c>
      <c r="C13" s="9">
        <v>0</v>
      </c>
      <c r="D13" s="9">
        <v>3</v>
      </c>
      <c r="E13" s="9">
        <v>2</v>
      </c>
      <c r="F13" s="18">
        <v>1.8867924528301886E-2</v>
      </c>
      <c r="G13" s="9" t="s">
        <v>84</v>
      </c>
      <c r="H13" s="9" t="s">
        <v>85</v>
      </c>
    </row>
    <row r="14" spans="1:8" ht="34.200000000000003" thickBot="1">
      <c r="A14" s="14" t="s">
        <v>86</v>
      </c>
      <c r="B14" s="9">
        <v>3</v>
      </c>
      <c r="C14" s="9">
        <v>1</v>
      </c>
      <c r="D14" s="9">
        <v>4</v>
      </c>
      <c r="E14" s="9">
        <v>4</v>
      </c>
      <c r="F14" s="18">
        <v>3.7735849056603772E-2</v>
      </c>
      <c r="G14" s="9" t="s">
        <v>87</v>
      </c>
      <c r="H14" s="9" t="s">
        <v>88</v>
      </c>
    </row>
    <row r="15" spans="1:8" ht="34.200000000000003" thickBot="1">
      <c r="A15" s="14" t="s">
        <v>89</v>
      </c>
      <c r="B15" s="9">
        <v>1</v>
      </c>
      <c r="C15" s="9">
        <v>2</v>
      </c>
      <c r="D15" s="9">
        <v>3</v>
      </c>
      <c r="E15" s="9">
        <v>3</v>
      </c>
      <c r="F15" s="18">
        <v>2.8301886792452831E-2</v>
      </c>
      <c r="G15" s="9" t="s">
        <v>90</v>
      </c>
      <c r="H15" s="9" t="s">
        <v>91</v>
      </c>
    </row>
    <row r="16" spans="1:8" ht="34.200000000000003" thickBot="1">
      <c r="A16" s="14" t="s">
        <v>92</v>
      </c>
      <c r="B16" s="9">
        <v>3</v>
      </c>
      <c r="C16" s="9">
        <v>0</v>
      </c>
      <c r="D16" s="9">
        <v>3</v>
      </c>
      <c r="E16" s="9">
        <v>2</v>
      </c>
      <c r="F16" s="18">
        <v>1.8867924528301886E-2</v>
      </c>
      <c r="G16" s="9" t="s">
        <v>93</v>
      </c>
      <c r="H16" s="9" t="s">
        <v>94</v>
      </c>
    </row>
    <row r="17" spans="1:8" ht="34.200000000000003" thickBot="1">
      <c r="A17" s="14" t="s">
        <v>95</v>
      </c>
      <c r="B17" s="9">
        <v>4</v>
      </c>
      <c r="C17" s="9">
        <v>0</v>
      </c>
      <c r="D17" s="9">
        <v>4</v>
      </c>
      <c r="E17" s="9">
        <v>4</v>
      </c>
      <c r="F17" s="18">
        <v>3.7735849056603772E-2</v>
      </c>
      <c r="G17" s="9" t="s">
        <v>96</v>
      </c>
      <c r="H17" s="9" t="s">
        <v>97</v>
      </c>
    </row>
    <row r="18" spans="1:8" ht="34.200000000000003" thickBot="1">
      <c r="A18" s="14" t="s">
        <v>26</v>
      </c>
      <c r="B18" s="9">
        <v>1</v>
      </c>
      <c r="C18" s="9">
        <v>2</v>
      </c>
      <c r="D18" s="9">
        <v>3</v>
      </c>
      <c r="E18" s="9">
        <v>3</v>
      </c>
      <c r="F18" s="18">
        <v>2.8301886792452831E-2</v>
      </c>
      <c r="G18" s="9" t="s">
        <v>98</v>
      </c>
      <c r="H18" s="9" t="s">
        <v>99</v>
      </c>
    </row>
    <row r="19" spans="1:8" ht="34.200000000000003" thickBot="1">
      <c r="A19" s="14" t="s">
        <v>25</v>
      </c>
      <c r="B19" s="9">
        <v>8</v>
      </c>
      <c r="C19" s="9">
        <v>1</v>
      </c>
      <c r="D19" s="9">
        <v>9</v>
      </c>
      <c r="E19" s="9">
        <v>8</v>
      </c>
      <c r="F19" s="18">
        <v>7.5471698113207544E-2</v>
      </c>
      <c r="G19" s="9" t="s">
        <v>100</v>
      </c>
      <c r="H19" s="9" t="s">
        <v>101</v>
      </c>
    </row>
    <row r="20" spans="1:8" ht="34.200000000000003" thickBot="1">
      <c r="A20" s="14" t="s">
        <v>102</v>
      </c>
      <c r="B20" s="9">
        <v>3</v>
      </c>
      <c r="C20" s="9">
        <v>1</v>
      </c>
      <c r="D20" s="9">
        <v>4</v>
      </c>
      <c r="E20" s="9">
        <v>3</v>
      </c>
      <c r="F20" s="18">
        <v>2.8301886792452831E-2</v>
      </c>
      <c r="G20" s="9" t="s">
        <v>103</v>
      </c>
      <c r="H20" s="9" t="s">
        <v>104</v>
      </c>
    </row>
    <row r="21" spans="1:8" ht="34.200000000000003" thickBot="1">
      <c r="A21" s="14" t="s">
        <v>32</v>
      </c>
      <c r="B21" s="9">
        <v>5</v>
      </c>
      <c r="C21" s="9">
        <v>0</v>
      </c>
      <c r="D21" s="9">
        <v>5</v>
      </c>
      <c r="E21" s="9">
        <v>5</v>
      </c>
      <c r="F21" s="18">
        <v>4.716981132075472E-2</v>
      </c>
      <c r="G21" s="9" t="s">
        <v>105</v>
      </c>
      <c r="H21" s="9" t="s">
        <v>106</v>
      </c>
    </row>
    <row r="22" spans="1:8" ht="34.200000000000003" thickBot="1">
      <c r="A22" s="14" t="s">
        <v>107</v>
      </c>
      <c r="B22" s="9">
        <v>3</v>
      </c>
      <c r="C22" s="9">
        <v>0</v>
      </c>
      <c r="D22" s="9">
        <v>3</v>
      </c>
      <c r="E22" s="9">
        <v>3</v>
      </c>
      <c r="F22" s="18">
        <v>2.8301886792452831E-2</v>
      </c>
      <c r="G22" s="9" t="s">
        <v>108</v>
      </c>
      <c r="H22" s="9" t="s">
        <v>109</v>
      </c>
    </row>
    <row r="23" spans="1:8" ht="34.200000000000003" thickBot="1">
      <c r="A23" s="14" t="s">
        <v>110</v>
      </c>
      <c r="B23" s="9">
        <v>2</v>
      </c>
      <c r="C23" s="9">
        <v>0</v>
      </c>
      <c r="D23" s="9">
        <v>2</v>
      </c>
      <c r="E23" s="9">
        <v>2</v>
      </c>
      <c r="F23" s="18">
        <v>1.8867924528301886E-2</v>
      </c>
      <c r="G23" s="9" t="s">
        <v>111</v>
      </c>
      <c r="H23" s="9" t="s">
        <v>112</v>
      </c>
    </row>
    <row r="24" spans="1:8" ht="34.200000000000003" thickBot="1">
      <c r="A24" s="14" t="s">
        <v>113</v>
      </c>
      <c r="B24" s="9">
        <v>2</v>
      </c>
      <c r="C24" s="9">
        <v>1</v>
      </c>
      <c r="D24" s="9">
        <v>3</v>
      </c>
      <c r="E24" s="9">
        <v>3</v>
      </c>
      <c r="F24" s="18">
        <v>2.8301886792452831E-2</v>
      </c>
      <c r="G24" s="9" t="s">
        <v>114</v>
      </c>
      <c r="H24" s="9" t="s">
        <v>115</v>
      </c>
    </row>
    <row r="25" spans="1:8" ht="34.200000000000003" thickBot="1">
      <c r="A25" s="14" t="s">
        <v>116</v>
      </c>
      <c r="B25" s="9">
        <v>4</v>
      </c>
      <c r="C25" s="9">
        <v>1</v>
      </c>
      <c r="D25" s="9">
        <v>5</v>
      </c>
      <c r="E25" s="9">
        <v>5</v>
      </c>
      <c r="F25" s="18">
        <v>4.716981132075472E-2</v>
      </c>
      <c r="G25" s="9" t="s">
        <v>117</v>
      </c>
      <c r="H25" s="9" t="s">
        <v>118</v>
      </c>
    </row>
    <row r="26" spans="1:8" ht="34.200000000000003" thickBot="1">
      <c r="A26" s="14" t="s">
        <v>119</v>
      </c>
      <c r="B26" s="9">
        <v>1</v>
      </c>
      <c r="C26" s="9">
        <v>2</v>
      </c>
      <c r="D26" s="9">
        <v>3</v>
      </c>
      <c r="E26" s="9">
        <v>2</v>
      </c>
      <c r="F26" s="18">
        <v>1.8867924528301886E-2</v>
      </c>
      <c r="G26" s="9" t="s">
        <v>120</v>
      </c>
      <c r="H26" s="9" t="s">
        <v>121</v>
      </c>
    </row>
    <row r="27" spans="1:8" ht="34.200000000000003" thickBot="1">
      <c r="A27" s="14" t="s">
        <v>24</v>
      </c>
      <c r="B27" s="9">
        <v>7</v>
      </c>
      <c r="C27" s="9">
        <v>0</v>
      </c>
      <c r="D27" s="9">
        <v>7</v>
      </c>
      <c r="E27" s="9">
        <v>6</v>
      </c>
      <c r="F27" s="18">
        <v>5.6603773584905662E-2</v>
      </c>
      <c r="G27" s="9" t="s">
        <v>122</v>
      </c>
      <c r="H27" s="9" t="s">
        <v>123</v>
      </c>
    </row>
    <row r="28" spans="1:8" ht="34.200000000000003" thickBot="1">
      <c r="A28" s="14" t="s">
        <v>124</v>
      </c>
      <c r="B28" s="9">
        <v>5</v>
      </c>
      <c r="C28" s="9">
        <v>0</v>
      </c>
      <c r="D28" s="9">
        <v>5</v>
      </c>
      <c r="E28" s="9">
        <v>5</v>
      </c>
      <c r="F28" s="18">
        <v>4.716981132075472E-2</v>
      </c>
      <c r="G28" s="9" t="s">
        <v>125</v>
      </c>
      <c r="H28" s="9" t="s">
        <v>126</v>
      </c>
    </row>
    <row r="29" spans="1:8" ht="34.200000000000003" thickBot="1">
      <c r="A29" s="15" t="s">
        <v>127</v>
      </c>
      <c r="B29" s="16">
        <v>2</v>
      </c>
      <c r="C29" s="16">
        <v>1</v>
      </c>
      <c r="D29" s="16">
        <v>3</v>
      </c>
      <c r="E29" s="16">
        <v>2</v>
      </c>
      <c r="F29" s="18">
        <v>1.8867924528301886E-2</v>
      </c>
      <c r="G29" s="16" t="s">
        <v>128</v>
      </c>
      <c r="H29" s="16" t="s">
        <v>129</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D9D4E-C0F7-4C80-A97C-E279A64F1BC4}">
  <dimension ref="A1:M33"/>
  <sheetViews>
    <sheetView topLeftCell="A16" workbookViewId="0">
      <selection activeCell="E2" sqref="E2"/>
    </sheetView>
  </sheetViews>
  <sheetFormatPr defaultRowHeight="14.4"/>
  <cols>
    <col min="1" max="1" width="6.109375" customWidth="1"/>
    <col min="2" max="2" width="4.44140625" customWidth="1"/>
    <col min="3" max="3" width="4.88671875" customWidth="1"/>
    <col min="4" max="4" width="3.109375" customWidth="1"/>
    <col min="5" max="5" width="3.88671875" customWidth="1"/>
    <col min="6" max="6" width="3.109375" customWidth="1"/>
    <col min="7" max="7" width="3.88671875" customWidth="1"/>
    <col min="8" max="8" width="3.6640625" customWidth="1"/>
    <col min="9" max="9" width="3.109375" customWidth="1"/>
    <col min="10" max="10" width="2.6640625" customWidth="1"/>
    <col min="11" max="11" width="2.88671875" customWidth="1"/>
    <col min="12" max="12" width="4.88671875" customWidth="1"/>
  </cols>
  <sheetData>
    <row r="1" spans="1:13">
      <c r="B1" t="s">
        <v>141</v>
      </c>
    </row>
    <row r="2" spans="1:13">
      <c r="B2" t="s">
        <v>131</v>
      </c>
      <c r="C2" t="s">
        <v>132</v>
      </c>
      <c r="D2" t="s">
        <v>133</v>
      </c>
      <c r="E2" t="s">
        <v>134</v>
      </c>
      <c r="F2" t="s">
        <v>135</v>
      </c>
      <c r="G2" t="s">
        <v>136</v>
      </c>
      <c r="H2" t="s">
        <v>137</v>
      </c>
      <c r="I2" t="s">
        <v>149</v>
      </c>
      <c r="J2" t="s">
        <v>138</v>
      </c>
      <c r="K2" t="s">
        <v>139</v>
      </c>
      <c r="L2" t="s">
        <v>140</v>
      </c>
    </row>
    <row r="3" spans="1:13">
      <c r="A3" t="s">
        <v>19</v>
      </c>
      <c r="B3" t="s">
        <v>142</v>
      </c>
      <c r="C3" t="s">
        <v>142</v>
      </c>
      <c r="D3" t="s">
        <v>142</v>
      </c>
      <c r="E3" t="s">
        <v>142</v>
      </c>
      <c r="F3" t="s">
        <v>142</v>
      </c>
      <c r="G3" t="s">
        <v>142</v>
      </c>
      <c r="H3" t="s">
        <v>142</v>
      </c>
      <c r="I3" t="s">
        <v>142</v>
      </c>
      <c r="J3" t="s">
        <v>142</v>
      </c>
      <c r="K3" t="s">
        <v>142</v>
      </c>
      <c r="L3" t="s">
        <v>143</v>
      </c>
    </row>
    <row r="4" spans="1:13">
      <c r="A4" t="s">
        <v>20</v>
      </c>
    </row>
    <row r="5" spans="1:13">
      <c r="A5" t="s">
        <v>21</v>
      </c>
      <c r="B5" t="s">
        <v>142</v>
      </c>
      <c r="C5" t="s">
        <v>142</v>
      </c>
      <c r="D5" t="s">
        <v>142</v>
      </c>
      <c r="E5" t="s">
        <v>142</v>
      </c>
      <c r="F5" t="s">
        <v>142</v>
      </c>
      <c r="G5" t="s">
        <v>142</v>
      </c>
      <c r="H5" t="s">
        <v>142</v>
      </c>
      <c r="I5" t="s">
        <v>142</v>
      </c>
      <c r="J5" t="s">
        <v>142</v>
      </c>
      <c r="K5" t="s">
        <v>142</v>
      </c>
      <c r="L5" t="s">
        <v>145</v>
      </c>
    </row>
    <row r="6" spans="1:13">
      <c r="A6" t="s">
        <v>22</v>
      </c>
    </row>
    <row r="7" spans="1:13">
      <c r="A7" t="s">
        <v>23</v>
      </c>
      <c r="E7" t="s">
        <v>142</v>
      </c>
      <c r="F7" t="s">
        <v>142</v>
      </c>
      <c r="G7" t="s">
        <v>142</v>
      </c>
      <c r="H7" t="s">
        <v>142</v>
      </c>
      <c r="I7" t="s">
        <v>142</v>
      </c>
      <c r="J7" t="s">
        <v>142</v>
      </c>
      <c r="K7" t="s">
        <v>142</v>
      </c>
      <c r="L7" t="s">
        <v>144</v>
      </c>
      <c r="M7">
        <f>7/13*100</f>
        <v>53.846153846153847</v>
      </c>
    </row>
    <row r="8" spans="1:13">
      <c r="A8" t="s">
        <v>24</v>
      </c>
      <c r="F8" t="s">
        <v>142</v>
      </c>
      <c r="G8" t="s">
        <v>142</v>
      </c>
      <c r="H8" t="s">
        <v>142</v>
      </c>
      <c r="I8" t="s">
        <v>142</v>
      </c>
      <c r="J8" t="s">
        <v>142</v>
      </c>
      <c r="K8" t="s">
        <v>142</v>
      </c>
      <c r="L8" t="s">
        <v>144</v>
      </c>
    </row>
    <row r="9" spans="1:13">
      <c r="A9" t="s">
        <v>25</v>
      </c>
    </row>
    <row r="10" spans="1:13">
      <c r="A10" t="s">
        <v>26</v>
      </c>
    </row>
    <row r="11" spans="1:13">
      <c r="A11" t="s">
        <v>27</v>
      </c>
    </row>
    <row r="12" spans="1:13">
      <c r="A12" t="s">
        <v>28</v>
      </c>
    </row>
    <row r="13" spans="1:13">
      <c r="A13" t="s">
        <v>29</v>
      </c>
    </row>
    <row r="14" spans="1:13">
      <c r="A14" t="s">
        <v>30</v>
      </c>
    </row>
    <row r="15" spans="1:13">
      <c r="A15" t="s">
        <v>31</v>
      </c>
    </row>
    <row r="16" spans="1:13">
      <c r="A16" t="s">
        <v>32</v>
      </c>
    </row>
    <row r="18" spans="1:12">
      <c r="B18" t="s">
        <v>146</v>
      </c>
    </row>
    <row r="19" spans="1:12">
      <c r="B19" t="s">
        <v>133</v>
      </c>
      <c r="C19" t="s">
        <v>134</v>
      </c>
      <c r="D19" t="s">
        <v>139</v>
      </c>
      <c r="E19" t="s">
        <v>147</v>
      </c>
      <c r="F19" t="s">
        <v>135</v>
      </c>
      <c r="G19" t="s">
        <v>148</v>
      </c>
      <c r="H19" t="s">
        <v>149</v>
      </c>
      <c r="I19" t="s">
        <v>140</v>
      </c>
    </row>
    <row r="20" spans="1:12">
      <c r="A20" t="s">
        <v>19</v>
      </c>
      <c r="B20" t="s">
        <v>142</v>
      </c>
      <c r="C20" t="s">
        <v>142</v>
      </c>
      <c r="D20" t="s">
        <v>142</v>
      </c>
      <c r="E20" t="s">
        <v>142</v>
      </c>
      <c r="F20" t="s">
        <v>142</v>
      </c>
      <c r="G20" t="s">
        <v>142</v>
      </c>
      <c r="H20" t="s">
        <v>142</v>
      </c>
      <c r="I20" t="s">
        <v>143</v>
      </c>
    </row>
    <row r="21" spans="1:12">
      <c r="A21" t="s">
        <v>20</v>
      </c>
      <c r="B21" t="s">
        <v>142</v>
      </c>
      <c r="C21" t="s">
        <v>142</v>
      </c>
      <c r="D21" t="s">
        <v>142</v>
      </c>
      <c r="E21" t="s">
        <v>142</v>
      </c>
      <c r="F21" t="s">
        <v>142</v>
      </c>
      <c r="G21" t="s">
        <v>142</v>
      </c>
      <c r="H21" t="s">
        <v>142</v>
      </c>
      <c r="I21" t="s">
        <v>143</v>
      </c>
      <c r="L21">
        <f>6/13*100</f>
        <v>46.153846153846153</v>
      </c>
    </row>
    <row r="22" spans="1:12">
      <c r="A22" t="s">
        <v>21</v>
      </c>
      <c r="B22" t="s">
        <v>142</v>
      </c>
      <c r="C22" t="s">
        <v>142</v>
      </c>
      <c r="D22" t="s">
        <v>142</v>
      </c>
      <c r="E22" t="s">
        <v>142</v>
      </c>
      <c r="F22" t="s">
        <v>142</v>
      </c>
      <c r="G22" t="s">
        <v>142</v>
      </c>
      <c r="H22" t="s">
        <v>142</v>
      </c>
      <c r="I22" t="s">
        <v>145</v>
      </c>
    </row>
    <row r="23" spans="1:12">
      <c r="A23" t="s">
        <v>22</v>
      </c>
    </row>
    <row r="24" spans="1:12">
      <c r="A24" t="s">
        <v>23</v>
      </c>
    </row>
    <row r="25" spans="1:12">
      <c r="A25" t="s">
        <v>24</v>
      </c>
    </row>
    <row r="26" spans="1:12">
      <c r="A26" t="s">
        <v>25</v>
      </c>
    </row>
    <row r="27" spans="1:12">
      <c r="A27" t="s">
        <v>26</v>
      </c>
      <c r="B27" t="s">
        <v>142</v>
      </c>
      <c r="I27" t="s">
        <v>133</v>
      </c>
    </row>
    <row r="28" spans="1:12">
      <c r="A28" t="s">
        <v>27</v>
      </c>
    </row>
    <row r="29" spans="1:12">
      <c r="A29" t="s">
        <v>28</v>
      </c>
      <c r="E29" t="s">
        <v>142</v>
      </c>
      <c r="F29" t="s">
        <v>142</v>
      </c>
      <c r="G29" t="s">
        <v>142</v>
      </c>
      <c r="H29" t="s">
        <v>142</v>
      </c>
      <c r="I29" t="s">
        <v>144</v>
      </c>
      <c r="L29">
        <f>4/13*100</f>
        <v>30.76923076923077</v>
      </c>
    </row>
    <row r="30" spans="1:12">
      <c r="A30" t="s">
        <v>29</v>
      </c>
    </row>
    <row r="31" spans="1:12">
      <c r="A31" t="s">
        <v>30</v>
      </c>
    </row>
    <row r="32" spans="1:12">
      <c r="A32" t="s">
        <v>31</v>
      </c>
    </row>
    <row r="33" spans="1:1">
      <c r="A33" t="s">
        <v>32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5FE28-0A59-411D-96A1-E4084FEA1B7B}">
  <dimension ref="A2:G72"/>
  <sheetViews>
    <sheetView workbookViewId="0">
      <selection activeCell="C17" sqref="C17"/>
    </sheetView>
  </sheetViews>
  <sheetFormatPr defaultRowHeight="14.4"/>
  <sheetData>
    <row r="2" spans="1:7">
      <c r="A2" t="s">
        <v>19</v>
      </c>
      <c r="B2">
        <v>106</v>
      </c>
      <c r="C2">
        <v>385</v>
      </c>
      <c r="D2">
        <v>240</v>
      </c>
      <c r="E2">
        <v>413</v>
      </c>
      <c r="F2">
        <f>D2/E2</f>
        <v>0.58111380145278446</v>
      </c>
      <c r="G2" s="22"/>
    </row>
    <row r="3" spans="1:7">
      <c r="G3" s="22"/>
    </row>
    <row r="4" spans="1:7" ht="15.6">
      <c r="G4" s="23"/>
    </row>
    <row r="5" spans="1:7" ht="15.6">
      <c r="G5" s="23"/>
    </row>
    <row r="6" spans="1:7" ht="15.6">
      <c r="G6" s="23"/>
    </row>
    <row r="7" spans="1:7">
      <c r="G7" s="22"/>
    </row>
    <row r="8" spans="1:7">
      <c r="A8" t="s">
        <v>19</v>
      </c>
      <c r="G8" s="22"/>
    </row>
    <row r="9" spans="1:7">
      <c r="A9" t="s">
        <v>26</v>
      </c>
      <c r="B9">
        <v>8</v>
      </c>
      <c r="C9">
        <v>385</v>
      </c>
      <c r="D9">
        <v>11</v>
      </c>
      <c r="E9">
        <v>413</v>
      </c>
      <c r="F9">
        <f>B9/C9*100</f>
        <v>2.0779220779220777</v>
      </c>
      <c r="G9" s="22">
        <f>D9/E9*100</f>
        <v>2.6634382566585959</v>
      </c>
    </row>
    <row r="10" spans="1:7">
      <c r="A10" t="s">
        <v>150</v>
      </c>
      <c r="B10">
        <v>25</v>
      </c>
      <c r="C10">
        <v>385</v>
      </c>
      <c r="D10">
        <v>29</v>
      </c>
      <c r="E10">
        <v>413</v>
      </c>
      <c r="F10">
        <f>B10/C10*100</f>
        <v>6.4935064935064926</v>
      </c>
      <c r="G10" s="22">
        <f>D10/E10*100</f>
        <v>7.021791767554479</v>
      </c>
    </row>
    <row r="11" spans="1:7">
      <c r="G11" s="22"/>
    </row>
    <row r="12" spans="1:7">
      <c r="G12" s="22"/>
    </row>
    <row r="13" spans="1:7">
      <c r="G13" s="22"/>
    </row>
    <row r="14" spans="1:7">
      <c r="G14" s="22"/>
    </row>
    <row r="15" spans="1:7">
      <c r="G15" s="22"/>
    </row>
    <row r="16" spans="1:7">
      <c r="G16" s="22"/>
    </row>
    <row r="17" spans="7:7">
      <c r="G17" s="22"/>
    </row>
    <row r="18" spans="7:7">
      <c r="G18" s="22"/>
    </row>
    <row r="19" spans="7:7">
      <c r="G19" s="22"/>
    </row>
    <row r="20" spans="7:7">
      <c r="G20" s="22"/>
    </row>
    <row r="21" spans="7:7">
      <c r="G21" s="22"/>
    </row>
    <row r="22" spans="7:7">
      <c r="G22" s="22"/>
    </row>
    <row r="23" spans="7:7">
      <c r="G23" s="22"/>
    </row>
    <row r="24" spans="7:7">
      <c r="G24" s="22"/>
    </row>
    <row r="25" spans="7:7">
      <c r="G25" s="22"/>
    </row>
    <row r="26" spans="7:7">
      <c r="G26" s="22"/>
    </row>
    <row r="27" spans="7:7">
      <c r="G27" s="22"/>
    </row>
    <row r="28" spans="7:7">
      <c r="G28" s="22"/>
    </row>
    <row r="29" spans="7:7">
      <c r="G29" s="22"/>
    </row>
    <row r="30" spans="7:7">
      <c r="G30" s="22"/>
    </row>
    <row r="31" spans="7:7">
      <c r="G31" s="22"/>
    </row>
    <row r="32" spans="7:7">
      <c r="G32" s="22"/>
    </row>
    <row r="33" spans="7:7">
      <c r="G33" s="22"/>
    </row>
    <row r="34" spans="7:7">
      <c r="G34" s="22"/>
    </row>
    <row r="35" spans="7:7">
      <c r="G35" s="22"/>
    </row>
    <row r="36" spans="7:7">
      <c r="G36" s="22"/>
    </row>
    <row r="37" spans="7:7">
      <c r="G37" s="22"/>
    </row>
    <row r="38" spans="7:7">
      <c r="G38" s="22"/>
    </row>
    <row r="39" spans="7:7">
      <c r="G39" s="22"/>
    </row>
    <row r="40" spans="7:7">
      <c r="G40" s="22"/>
    </row>
    <row r="41" spans="7:7">
      <c r="G41" s="22"/>
    </row>
    <row r="42" spans="7:7">
      <c r="G42" s="22"/>
    </row>
    <row r="43" spans="7:7">
      <c r="G43" s="22"/>
    </row>
    <row r="44" spans="7:7">
      <c r="G44" s="22"/>
    </row>
    <row r="45" spans="7:7">
      <c r="G45" s="22"/>
    </row>
    <row r="46" spans="7:7">
      <c r="G46" s="22"/>
    </row>
    <row r="47" spans="7:7">
      <c r="G47" s="22"/>
    </row>
    <row r="48" spans="7:7">
      <c r="G48" s="22"/>
    </row>
    <row r="49" spans="7:7">
      <c r="G49" s="22"/>
    </row>
    <row r="50" spans="7:7">
      <c r="G50" s="22"/>
    </row>
    <row r="51" spans="7:7">
      <c r="G51" s="22"/>
    </row>
    <row r="52" spans="7:7">
      <c r="G52" s="22"/>
    </row>
    <row r="53" spans="7:7">
      <c r="G53" s="22"/>
    </row>
    <row r="54" spans="7:7">
      <c r="G54" s="22"/>
    </row>
    <row r="55" spans="7:7">
      <c r="G55" s="22"/>
    </row>
    <row r="56" spans="7:7">
      <c r="G56" s="22"/>
    </row>
    <row r="57" spans="7:7">
      <c r="G57" s="22"/>
    </row>
    <row r="58" spans="7:7">
      <c r="G58" s="22"/>
    </row>
    <row r="59" spans="7:7">
      <c r="G59" s="22"/>
    </row>
    <row r="60" spans="7:7">
      <c r="G60" s="22"/>
    </row>
    <row r="61" spans="7:7">
      <c r="G61" s="22"/>
    </row>
    <row r="62" spans="7:7">
      <c r="G62" s="22"/>
    </row>
    <row r="63" spans="7:7">
      <c r="G63" s="22"/>
    </row>
    <row r="64" spans="7:7">
      <c r="G64" s="22"/>
    </row>
    <row r="65" spans="7:7">
      <c r="G65" s="22"/>
    </row>
    <row r="66" spans="7:7">
      <c r="G66" s="22"/>
    </row>
    <row r="67" spans="7:7">
      <c r="G67" s="22"/>
    </row>
    <row r="68" spans="7:7">
      <c r="G68" s="22"/>
    </row>
    <row r="69" spans="7:7">
      <c r="G69" s="22"/>
    </row>
    <row r="70" spans="7:7">
      <c r="G70" s="22"/>
    </row>
    <row r="71" spans="7:7">
      <c r="G71" s="22"/>
    </row>
    <row r="72" spans="7:7">
      <c r="G72" s="2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A94B3-83D5-4515-8F96-35FA9B30609E}">
  <dimension ref="A1:S28"/>
  <sheetViews>
    <sheetView zoomScale="96" zoomScaleNormal="96" workbookViewId="0">
      <pane xSplit="1" topLeftCell="B1" activePane="topRight" state="frozen"/>
      <selection pane="topRight" activeCell="J14" sqref="J14"/>
    </sheetView>
  </sheetViews>
  <sheetFormatPr defaultRowHeight="14.4"/>
  <sheetData>
    <row r="1" spans="1:19">
      <c r="B1" s="24"/>
      <c r="C1" s="25" t="s">
        <v>141</v>
      </c>
      <c r="D1" s="25"/>
      <c r="E1" s="26"/>
      <c r="F1" t="s">
        <v>146</v>
      </c>
      <c r="H1" t="s">
        <v>157</v>
      </c>
      <c r="J1" t="s">
        <v>158</v>
      </c>
      <c r="O1" t="s">
        <v>162</v>
      </c>
    </row>
    <row r="2" spans="1:19">
      <c r="B2" s="27" t="s">
        <v>151</v>
      </c>
      <c r="C2" s="28" t="s">
        <v>152</v>
      </c>
      <c r="D2" s="28" t="s">
        <v>153</v>
      </c>
      <c r="E2" s="29" t="s">
        <v>154</v>
      </c>
      <c r="F2" t="s">
        <v>155</v>
      </c>
      <c r="G2" t="s">
        <v>156</v>
      </c>
      <c r="H2" t="s">
        <v>155</v>
      </c>
      <c r="I2" t="s">
        <v>156</v>
      </c>
      <c r="J2" t="s">
        <v>155</v>
      </c>
      <c r="K2" t="s">
        <v>156</v>
      </c>
      <c r="L2" t="s">
        <v>159</v>
      </c>
      <c r="M2" t="s">
        <v>161</v>
      </c>
      <c r="N2" t="s">
        <v>160</v>
      </c>
      <c r="O2" t="s">
        <v>155</v>
      </c>
      <c r="P2" t="s">
        <v>156</v>
      </c>
      <c r="Q2" t="s">
        <v>159</v>
      </c>
      <c r="R2" t="s">
        <v>163</v>
      </c>
    </row>
    <row r="3" spans="1:19">
      <c r="A3" t="s">
        <v>19</v>
      </c>
      <c r="B3">
        <v>1</v>
      </c>
      <c r="C3">
        <v>1</v>
      </c>
      <c r="D3">
        <v>1</v>
      </c>
      <c r="E3">
        <v>1</v>
      </c>
      <c r="I3">
        <v>1</v>
      </c>
      <c r="O3">
        <v>1</v>
      </c>
      <c r="P3">
        <v>1</v>
      </c>
      <c r="Q3">
        <v>1</v>
      </c>
      <c r="R3">
        <f>SUM(B3:Q3)</f>
        <v>8</v>
      </c>
      <c r="S3">
        <f>R3/16*100</f>
        <v>50</v>
      </c>
    </row>
    <row r="4" spans="1:19">
      <c r="A4" t="s">
        <v>20</v>
      </c>
      <c r="B4">
        <v>1</v>
      </c>
      <c r="C4">
        <v>1</v>
      </c>
      <c r="D4">
        <v>1</v>
      </c>
      <c r="E4">
        <v>1</v>
      </c>
      <c r="R4">
        <f t="shared" ref="R4:R5" si="0">SUM(B4:Q4)</f>
        <v>4</v>
      </c>
      <c r="S4">
        <f>R4/16*100</f>
        <v>25</v>
      </c>
    </row>
    <row r="5" spans="1:19">
      <c r="A5" t="s">
        <v>21</v>
      </c>
      <c r="B5">
        <v>1</v>
      </c>
      <c r="C5">
        <v>1</v>
      </c>
      <c r="D5">
        <v>1</v>
      </c>
      <c r="E5">
        <v>1</v>
      </c>
      <c r="J5">
        <v>1</v>
      </c>
      <c r="K5">
        <v>1</v>
      </c>
      <c r="L5">
        <v>1</v>
      </c>
      <c r="M5">
        <v>1</v>
      </c>
      <c r="N5">
        <v>1</v>
      </c>
      <c r="R5">
        <f t="shared" si="0"/>
        <v>9</v>
      </c>
      <c r="S5">
        <f>R5/16*100</f>
        <v>56.25</v>
      </c>
    </row>
    <row r="6" spans="1:19">
      <c r="A6" t="s">
        <v>22</v>
      </c>
      <c r="O6">
        <v>1</v>
      </c>
      <c r="P6">
        <v>1</v>
      </c>
      <c r="Q6">
        <v>1</v>
      </c>
      <c r="R6">
        <f t="shared" ref="R6:R14" si="1">SUM(B6:Q6)</f>
        <v>3</v>
      </c>
      <c r="S6">
        <f t="shared" ref="S6:S14" si="2">R6/16*100</f>
        <v>18.75</v>
      </c>
    </row>
    <row r="7" spans="1:19">
      <c r="A7" t="s">
        <v>23</v>
      </c>
      <c r="R7">
        <f t="shared" si="1"/>
        <v>0</v>
      </c>
      <c r="S7">
        <f t="shared" si="2"/>
        <v>0</v>
      </c>
    </row>
    <row r="8" spans="1:19">
      <c r="A8" t="s">
        <v>24</v>
      </c>
      <c r="F8">
        <v>1</v>
      </c>
      <c r="H8">
        <v>1</v>
      </c>
      <c r="I8">
        <v>1</v>
      </c>
      <c r="R8">
        <f t="shared" si="1"/>
        <v>3</v>
      </c>
      <c r="S8">
        <f t="shared" si="2"/>
        <v>18.75</v>
      </c>
    </row>
    <row r="9" spans="1:19">
      <c r="A9" t="s">
        <v>25</v>
      </c>
      <c r="O9">
        <v>1</v>
      </c>
      <c r="P9">
        <v>1</v>
      </c>
      <c r="R9">
        <f t="shared" si="1"/>
        <v>2</v>
      </c>
      <c r="S9">
        <f t="shared" si="2"/>
        <v>12.5</v>
      </c>
    </row>
    <row r="10" spans="1:19">
      <c r="A10" t="s">
        <v>26</v>
      </c>
      <c r="O10">
        <v>1</v>
      </c>
      <c r="P10">
        <v>1</v>
      </c>
      <c r="R10">
        <f t="shared" si="1"/>
        <v>2</v>
      </c>
      <c r="S10">
        <f t="shared" si="2"/>
        <v>12.5</v>
      </c>
    </row>
    <row r="11" spans="1:19">
      <c r="A11" t="s">
        <v>27</v>
      </c>
      <c r="R11">
        <f t="shared" si="1"/>
        <v>0</v>
      </c>
      <c r="S11">
        <f t="shared" si="2"/>
        <v>0</v>
      </c>
    </row>
    <row r="12" spans="1:19">
      <c r="A12" t="s">
        <v>28</v>
      </c>
      <c r="D12">
        <v>1</v>
      </c>
      <c r="E12">
        <v>1</v>
      </c>
      <c r="R12">
        <f t="shared" si="1"/>
        <v>2</v>
      </c>
      <c r="S12">
        <f t="shared" si="2"/>
        <v>12.5</v>
      </c>
    </row>
    <row r="13" spans="1:19">
      <c r="A13" t="s">
        <v>29</v>
      </c>
      <c r="R13">
        <f t="shared" si="1"/>
        <v>0</v>
      </c>
      <c r="S13">
        <f t="shared" si="2"/>
        <v>0</v>
      </c>
    </row>
    <row r="14" spans="1:19">
      <c r="A14" t="s">
        <v>30</v>
      </c>
      <c r="Q14">
        <v>1</v>
      </c>
      <c r="R14">
        <f t="shared" si="1"/>
        <v>1</v>
      </c>
      <c r="S14">
        <f t="shared" si="2"/>
        <v>6.25</v>
      </c>
    </row>
    <row r="15" spans="1:19">
      <c r="A15" t="s">
        <v>31</v>
      </c>
    </row>
    <row r="16" spans="1:19">
      <c r="A16" t="s">
        <v>32</v>
      </c>
    </row>
    <row r="17" spans="7:7">
      <c r="G17">
        <v>50</v>
      </c>
    </row>
    <row r="18" spans="7:7">
      <c r="G18">
        <v>25</v>
      </c>
    </row>
    <row r="19" spans="7:7">
      <c r="G19">
        <v>56.25</v>
      </c>
    </row>
    <row r="20" spans="7:7">
      <c r="G20">
        <v>18.75</v>
      </c>
    </row>
    <row r="21" spans="7:7">
      <c r="G21">
        <v>0</v>
      </c>
    </row>
    <row r="22" spans="7:7">
      <c r="G22">
        <v>18.75</v>
      </c>
    </row>
    <row r="23" spans="7:7">
      <c r="G23">
        <v>12.5</v>
      </c>
    </row>
    <row r="24" spans="7:7">
      <c r="G24">
        <v>12.5</v>
      </c>
    </row>
    <row r="25" spans="7:7">
      <c r="G25">
        <v>0</v>
      </c>
    </row>
    <row r="26" spans="7:7">
      <c r="G26">
        <v>12.5</v>
      </c>
    </row>
    <row r="27" spans="7:7">
      <c r="G27">
        <v>0</v>
      </c>
    </row>
    <row r="28" spans="7:7">
      <c r="G28">
        <v>6.25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C109B-4009-452B-836B-D052D00DCFDA}">
  <dimension ref="C2:FQ4"/>
  <sheetViews>
    <sheetView workbookViewId="0">
      <selection activeCell="C4" sqref="C4:FQ4"/>
    </sheetView>
  </sheetViews>
  <sheetFormatPr defaultRowHeight="14.4"/>
  <sheetData>
    <row r="2" spans="3:173">
      <c r="C2">
        <v>63.583240180032043</v>
      </c>
      <c r="D2">
        <v>36.554512150524118</v>
      </c>
      <c r="E2">
        <v>22.923167156557835</v>
      </c>
      <c r="F2">
        <v>17.006481991184067</v>
      </c>
      <c r="G2">
        <v>13.755350492376357</v>
      </c>
      <c r="H2">
        <v>11.902134736879285</v>
      </c>
      <c r="I2">
        <v>8.8704427875836878</v>
      </c>
      <c r="J2">
        <v>9.2731004474057954</v>
      </c>
      <c r="K2">
        <v>8.3881806476930745</v>
      </c>
      <c r="L2">
        <v>10.91156748911466</v>
      </c>
      <c r="M2">
        <v>4.7933556223650564</v>
      </c>
      <c r="N2">
        <v>5.8892180470619309</v>
      </c>
      <c r="O2">
        <v>2.0858490566037737</v>
      </c>
      <c r="P2">
        <v>4.6762122734546541</v>
      </c>
      <c r="Q2">
        <v>2.5086021505376341</v>
      </c>
      <c r="R2">
        <v>11.414516129032258</v>
      </c>
      <c r="S2">
        <v>22.58064516129032</v>
      </c>
      <c r="T2">
        <v>17.600000000000001</v>
      </c>
      <c r="U2">
        <v>27</v>
      </c>
      <c r="V2">
        <v>24.8</v>
      </c>
      <c r="W2">
        <v>18.8</v>
      </c>
      <c r="X2">
        <v>4.6500000000000004</v>
      </c>
    </row>
    <row r="4" spans="3:173">
      <c r="C4">
        <v>43.560849056603772</v>
      </c>
      <c r="D4">
        <v>93</v>
      </c>
      <c r="E4">
        <v>17.266666666666666</v>
      </c>
      <c r="F4">
        <v>13.666666666666666</v>
      </c>
      <c r="G4">
        <v>41.304347826086953</v>
      </c>
      <c r="H4">
        <v>28.260869565217391</v>
      </c>
      <c r="I4">
        <v>65.72</v>
      </c>
      <c r="J4">
        <v>52.5</v>
      </c>
      <c r="K4">
        <v>79.112518163324609</v>
      </c>
      <c r="L4">
        <v>15.217391304347828</v>
      </c>
      <c r="M4">
        <v>77</v>
      </c>
      <c r="N4">
        <v>32.608695652173914</v>
      </c>
      <c r="O4">
        <v>86.274509803921575</v>
      </c>
      <c r="P4">
        <v>95</v>
      </c>
      <c r="Q4">
        <v>81</v>
      </c>
      <c r="R4">
        <v>87.333333333333343</v>
      </c>
      <c r="S4">
        <v>76.699382265043042</v>
      </c>
      <c r="T4">
        <v>86.5</v>
      </c>
      <c r="U4">
        <v>55.8</v>
      </c>
      <c r="V4">
        <v>96</v>
      </c>
      <c r="W4">
        <v>89</v>
      </c>
      <c r="X4">
        <v>96</v>
      </c>
      <c r="Y4">
        <v>22.55</v>
      </c>
      <c r="Z4">
        <v>19.565217391304348</v>
      </c>
      <c r="AA4">
        <v>21.946956521739132</v>
      </c>
      <c r="AB4">
        <v>15</v>
      </c>
      <c r="AC4">
        <v>27.470391277451284</v>
      </c>
      <c r="AD4">
        <v>24.5</v>
      </c>
      <c r="AE4">
        <v>33</v>
      </c>
      <c r="AF4">
        <v>23.360144927536236</v>
      </c>
      <c r="AG4">
        <v>26.216158366841945</v>
      </c>
      <c r="AH4">
        <v>33.745098039215684</v>
      </c>
      <c r="AI4">
        <v>34</v>
      </c>
      <c r="AJ4">
        <v>17.5</v>
      </c>
      <c r="AK4">
        <v>24.540993788819872</v>
      </c>
      <c r="AL4">
        <v>36.725490196078432</v>
      </c>
      <c r="AM4">
        <v>50</v>
      </c>
      <c r="AN4">
        <v>50</v>
      </c>
      <c r="AO4">
        <v>50</v>
      </c>
      <c r="AP4">
        <v>20.212765957446805</v>
      </c>
      <c r="AQ4">
        <v>31.508096195484072</v>
      </c>
      <c r="AR4">
        <v>31</v>
      </c>
      <c r="AS4">
        <v>31.255555555555556</v>
      </c>
      <c r="AT4">
        <v>26.206310472494049</v>
      </c>
      <c r="AU4">
        <v>40.49777296628519</v>
      </c>
      <c r="AV4">
        <v>22.833333333333332</v>
      </c>
      <c r="AW4">
        <v>28.260869565217391</v>
      </c>
      <c r="AX4">
        <v>19</v>
      </c>
      <c r="AY4">
        <v>78</v>
      </c>
      <c r="AZ4">
        <v>65</v>
      </c>
      <c r="BA4">
        <v>16.666666666666668</v>
      </c>
      <c r="BB4">
        <v>22.65</v>
      </c>
      <c r="BC4">
        <v>38</v>
      </c>
      <c r="BD4">
        <v>35</v>
      </c>
      <c r="BE4">
        <v>21.739130434782609</v>
      </c>
      <c r="BF4">
        <v>12</v>
      </c>
      <c r="BG4">
        <v>7.5</v>
      </c>
      <c r="BH4">
        <v>26.086956521739129</v>
      </c>
      <c r="BI4">
        <v>15.2</v>
      </c>
      <c r="BJ4">
        <v>41.304347826086953</v>
      </c>
      <c r="BK4">
        <v>20.52</v>
      </c>
      <c r="BL4">
        <v>54.8</v>
      </c>
      <c r="BM4">
        <v>36.771428571428565</v>
      </c>
      <c r="BN4">
        <v>40.74544386019177</v>
      </c>
      <c r="BO4">
        <v>17</v>
      </c>
      <c r="BP4">
        <v>53</v>
      </c>
      <c r="BQ4">
        <v>5.5</v>
      </c>
      <c r="BR4">
        <v>23.913043478260871</v>
      </c>
      <c r="BS4">
        <v>12.766666666666666</v>
      </c>
      <c r="BT4">
        <v>30</v>
      </c>
      <c r="BU4">
        <v>23.913043478260871</v>
      </c>
      <c r="BV4">
        <v>19.607843137254903</v>
      </c>
      <c r="BW4">
        <v>13.043478260869565</v>
      </c>
      <c r="BX4">
        <v>50</v>
      </c>
      <c r="BY4">
        <v>10.3</v>
      </c>
      <c r="BZ4">
        <v>78</v>
      </c>
      <c r="CA4">
        <v>21.273082276523354</v>
      </c>
      <c r="CB4">
        <v>11.319148936170212</v>
      </c>
      <c r="CC4">
        <v>31</v>
      </c>
      <c r="CD4">
        <v>17.391304347826086</v>
      </c>
      <c r="CE4">
        <v>19.565217391304348</v>
      </c>
      <c r="CF4">
        <v>19</v>
      </c>
      <c r="CG4">
        <v>20.399999999999999</v>
      </c>
      <c r="CH4">
        <v>28.572974017939998</v>
      </c>
      <c r="CI4">
        <v>17</v>
      </c>
      <c r="CJ4">
        <v>11</v>
      </c>
      <c r="CK4">
        <v>15.217391304347828</v>
      </c>
      <c r="CL4">
        <v>17.391304347826086</v>
      </c>
      <c r="CM4">
        <v>13.043478260869565</v>
      </c>
      <c r="CN4">
        <v>41</v>
      </c>
      <c r="CO4">
        <v>41</v>
      </c>
      <c r="CP4">
        <v>25.883333333333336</v>
      </c>
      <c r="CQ4">
        <v>43.660000000000004</v>
      </c>
      <c r="CR4">
        <v>34</v>
      </c>
      <c r="CS4">
        <v>25.490196078431371</v>
      </c>
      <c r="CT4">
        <v>41</v>
      </c>
      <c r="CU4">
        <v>41</v>
      </c>
      <c r="CV4">
        <v>41</v>
      </c>
      <c r="CW4">
        <v>52</v>
      </c>
      <c r="CX4">
        <v>26.782608695652172</v>
      </c>
      <c r="CY4">
        <v>41</v>
      </c>
      <c r="CZ4">
        <v>48</v>
      </c>
      <c r="DA4">
        <v>50</v>
      </c>
      <c r="DB4">
        <v>39.5</v>
      </c>
      <c r="DC4">
        <v>68</v>
      </c>
      <c r="DD4">
        <v>52.941176470588239</v>
      </c>
      <c r="DE4">
        <v>53.358478966903803</v>
      </c>
      <c r="DF4">
        <v>21.55</v>
      </c>
      <c r="DG4">
        <v>27.516666666666666</v>
      </c>
      <c r="DH4">
        <v>18.7</v>
      </c>
      <c r="DI4">
        <v>19.565217391304348</v>
      </c>
      <c r="DJ4">
        <v>23.52941176470588</v>
      </c>
      <c r="DK4">
        <v>41</v>
      </c>
      <c r="DL4">
        <v>25.733333333333334</v>
      </c>
      <c r="DM4">
        <v>15.217391304347828</v>
      </c>
      <c r="DN4">
        <v>9</v>
      </c>
      <c r="DO4">
        <v>35</v>
      </c>
      <c r="DP4">
        <v>41</v>
      </c>
      <c r="DQ4">
        <v>41</v>
      </c>
      <c r="DR4">
        <v>39.130434782608695</v>
      </c>
      <c r="DS4">
        <v>34.748229198886484</v>
      </c>
      <c r="DT4" t="e">
        <v>#DIV/0!</v>
      </c>
      <c r="DU4">
        <v>41</v>
      </c>
      <c r="DV4">
        <v>40</v>
      </c>
      <c r="DW4">
        <v>13.25</v>
      </c>
      <c r="DX4">
        <v>19.565217391304348</v>
      </c>
      <c r="DY4">
        <v>25.076214042684814</v>
      </c>
      <c r="DZ4">
        <v>21.739130434782609</v>
      </c>
      <c r="EA4">
        <v>10.869565217391305</v>
      </c>
      <c r="EB4">
        <v>6</v>
      </c>
      <c r="EC4">
        <v>41</v>
      </c>
      <c r="ED4">
        <v>41</v>
      </c>
      <c r="EE4">
        <v>15.166666666666666</v>
      </c>
      <c r="EF4">
        <v>6.4</v>
      </c>
      <c r="EG4">
        <v>26.897933807609036</v>
      </c>
      <c r="EH4">
        <v>15.217391304347828</v>
      </c>
      <c r="EI4">
        <v>41</v>
      </c>
      <c r="EJ4">
        <v>19</v>
      </c>
      <c r="EK4">
        <v>23.52941176470588</v>
      </c>
      <c r="EL4">
        <v>39.215686274509807</v>
      </c>
      <c r="EM4">
        <v>30.434782608695656</v>
      </c>
      <c r="EN4">
        <v>41</v>
      </c>
      <c r="EO4">
        <v>5.2</v>
      </c>
      <c r="EP4">
        <v>49</v>
      </c>
      <c r="EQ4">
        <v>41</v>
      </c>
      <c r="ER4">
        <v>11.5</v>
      </c>
      <c r="ES4">
        <v>15.217391304347828</v>
      </c>
      <c r="ET4">
        <v>19</v>
      </c>
      <c r="EU4">
        <v>19.607843137254903</v>
      </c>
      <c r="EV4">
        <v>32</v>
      </c>
      <c r="EW4">
        <v>41</v>
      </c>
      <c r="EX4">
        <v>25.490196078431371</v>
      </c>
      <c r="EY4">
        <v>23.913043478260871</v>
      </c>
      <c r="EZ4">
        <v>28</v>
      </c>
      <c r="FA4">
        <v>13.043478260869565</v>
      </c>
      <c r="FB4">
        <v>21.739130434782609</v>
      </c>
      <c r="FC4">
        <v>26</v>
      </c>
      <c r="FD4">
        <v>6</v>
      </c>
      <c r="FE4">
        <v>14.574999999999999</v>
      </c>
      <c r="FF4">
        <v>44</v>
      </c>
      <c r="FG4">
        <v>13.166666666666666</v>
      </c>
      <c r="FH4">
        <v>17.391304347826086</v>
      </c>
      <c r="FI4">
        <v>14.15</v>
      </c>
      <c r="FJ4">
        <v>19.607843137254903</v>
      </c>
      <c r="FK4">
        <v>36.95652173913043</v>
      </c>
      <c r="FL4">
        <v>29.411764705882355</v>
      </c>
      <c r="FM4">
        <v>39.921419733993197</v>
      </c>
      <c r="FN4">
        <v>7</v>
      </c>
      <c r="FO4">
        <v>6</v>
      </c>
      <c r="FP4">
        <v>44</v>
      </c>
      <c r="FQ4">
        <v>44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8EA34-0F5E-4913-AD80-CD579F74960B}">
  <dimension ref="B3:C24"/>
  <sheetViews>
    <sheetView topLeftCell="A4" workbookViewId="0">
      <selection activeCell="B19" sqref="B19"/>
    </sheetView>
  </sheetViews>
  <sheetFormatPr defaultRowHeight="14.4"/>
  <sheetData>
    <row r="3" spans="2:3">
      <c r="B3" s="41" t="s">
        <v>19</v>
      </c>
      <c r="C3" s="40">
        <v>63.583240180032043</v>
      </c>
    </row>
    <row r="4" spans="2:3">
      <c r="B4" s="41" t="s">
        <v>20</v>
      </c>
      <c r="C4" s="40">
        <v>36.554512150524118</v>
      </c>
    </row>
    <row r="5" spans="2:3">
      <c r="B5" s="41" t="s">
        <v>21</v>
      </c>
      <c r="C5" s="40">
        <v>22.923167156557835</v>
      </c>
    </row>
    <row r="6" spans="2:3">
      <c r="B6" s="41" t="s">
        <v>22</v>
      </c>
      <c r="C6" s="40">
        <v>17.006481991184067</v>
      </c>
    </row>
    <row r="7" spans="2:3">
      <c r="B7" s="41" t="s">
        <v>23</v>
      </c>
      <c r="C7" s="40">
        <v>13.755350492376357</v>
      </c>
    </row>
    <row r="8" spans="2:3">
      <c r="B8" s="41" t="s">
        <v>24</v>
      </c>
      <c r="C8" s="40">
        <v>11.902134736879285</v>
      </c>
    </row>
    <row r="9" spans="2:3">
      <c r="B9" s="41" t="s">
        <v>25</v>
      </c>
      <c r="C9" s="40">
        <v>8.8704427875836878</v>
      </c>
    </row>
    <row r="10" spans="2:3">
      <c r="B10" s="41" t="s">
        <v>26</v>
      </c>
      <c r="C10" s="40">
        <v>9.2731004474057954</v>
      </c>
    </row>
    <row r="11" spans="2:3">
      <c r="B11" s="41" t="s">
        <v>27</v>
      </c>
      <c r="C11" s="40">
        <v>8.3881806476930745</v>
      </c>
    </row>
    <row r="12" spans="2:3">
      <c r="B12" s="41" t="s">
        <v>28</v>
      </c>
      <c r="C12" s="40">
        <v>10.91156748911466</v>
      </c>
    </row>
    <row r="13" spans="2:3">
      <c r="B13" s="41" t="s">
        <v>29</v>
      </c>
      <c r="C13" s="40">
        <v>4.7933556223650564</v>
      </c>
    </row>
    <row r="14" spans="2:3">
      <c r="B14" s="41" t="s">
        <v>30</v>
      </c>
      <c r="C14" s="40">
        <v>5.8892180470619309</v>
      </c>
    </row>
    <row r="15" spans="2:3">
      <c r="B15" s="41" t="s">
        <v>31</v>
      </c>
      <c r="C15" s="40">
        <v>2.0858490566037737</v>
      </c>
    </row>
    <row r="16" spans="2:3">
      <c r="B16" s="41" t="s">
        <v>32</v>
      </c>
      <c r="C16" s="40">
        <v>4.6762122734546541</v>
      </c>
    </row>
    <row r="17" spans="2:3">
      <c r="B17" s="41" t="s">
        <v>164</v>
      </c>
      <c r="C17" s="40">
        <v>2.5086021505376341</v>
      </c>
    </row>
    <row r="18" spans="2:3">
      <c r="B18" s="41" t="s">
        <v>179</v>
      </c>
      <c r="C18" s="40">
        <v>11.414516129032258</v>
      </c>
    </row>
    <row r="19" spans="2:3">
      <c r="B19" s="41" t="s">
        <v>180</v>
      </c>
      <c r="C19" s="40">
        <v>22.58064516129032</v>
      </c>
    </row>
    <row r="20" spans="2:3">
      <c r="B20" s="41" t="s">
        <v>192</v>
      </c>
      <c r="C20" s="40">
        <v>17.600000000000001</v>
      </c>
    </row>
    <row r="21" spans="2:3">
      <c r="B21" s="41" t="s">
        <v>193</v>
      </c>
      <c r="C21" s="40">
        <v>27</v>
      </c>
    </row>
    <row r="22" spans="2:3">
      <c r="B22" s="41" t="s">
        <v>194</v>
      </c>
      <c r="C22" s="40">
        <v>24.8</v>
      </c>
    </row>
    <row r="23" spans="2:3">
      <c r="B23" s="41" t="s">
        <v>77</v>
      </c>
      <c r="C23" s="40">
        <v>18.8</v>
      </c>
    </row>
    <row r="24" spans="2:3">
      <c r="B24" s="41" t="s">
        <v>74</v>
      </c>
      <c r="C24" s="40">
        <v>4.6500000000000004</v>
      </c>
    </row>
  </sheetData>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A659-05CE-4F39-8D88-3A5CF0E4734B}">
  <dimension ref="A3:C172"/>
  <sheetViews>
    <sheetView topLeftCell="B148" workbookViewId="0">
      <selection activeCell="O12" sqref="O12"/>
    </sheetView>
  </sheetViews>
  <sheetFormatPr defaultRowHeight="14.4"/>
  <cols>
    <col min="1" max="1" width="8.6640625" style="43"/>
  </cols>
  <sheetData>
    <row r="3" spans="1:2">
      <c r="A3" s="42" t="s">
        <v>33</v>
      </c>
      <c r="B3">
        <v>-43.5608490566038</v>
      </c>
    </row>
    <row r="4" spans="1:2" ht="24">
      <c r="A4" s="42" t="s">
        <v>316</v>
      </c>
      <c r="B4">
        <v>-93</v>
      </c>
    </row>
    <row r="5" spans="1:2">
      <c r="A5" s="42" t="s">
        <v>228</v>
      </c>
      <c r="B5">
        <v>-17.266666666666701</v>
      </c>
    </row>
    <row r="6" spans="1:2">
      <c r="A6" s="42">
        <v>1</v>
      </c>
      <c r="B6">
        <v>-13.6666666666667</v>
      </c>
    </row>
    <row r="7" spans="1:2">
      <c r="A7" s="42" t="s">
        <v>240</v>
      </c>
      <c r="B7">
        <v>-41.304347826087003</v>
      </c>
    </row>
    <row r="8" spans="1:2">
      <c r="A8" s="42" t="s">
        <v>241</v>
      </c>
      <c r="B8">
        <v>-28.260869565217401</v>
      </c>
    </row>
    <row r="9" spans="1:2">
      <c r="A9" s="42">
        <v>3</v>
      </c>
      <c r="B9">
        <v>-65.72</v>
      </c>
    </row>
    <row r="10" spans="1:2">
      <c r="A10" s="42" t="s">
        <v>206</v>
      </c>
      <c r="B10">
        <v>-52.5</v>
      </c>
    </row>
    <row r="11" spans="1:2">
      <c r="A11" s="42" t="s">
        <v>227</v>
      </c>
      <c r="B11">
        <v>-79.112518163324594</v>
      </c>
    </row>
    <row r="12" spans="1:2">
      <c r="A12" s="42" t="s">
        <v>242</v>
      </c>
      <c r="B12">
        <v>-15.2173913043478</v>
      </c>
    </row>
    <row r="13" spans="1:2" ht="24">
      <c r="A13" s="42" t="s">
        <v>343</v>
      </c>
      <c r="B13">
        <v>-77</v>
      </c>
    </row>
    <row r="14" spans="1:2">
      <c r="A14" s="42" t="s">
        <v>243</v>
      </c>
      <c r="B14">
        <v>-32.6086956521739</v>
      </c>
    </row>
    <row r="15" spans="1:2" ht="24">
      <c r="A15" s="42" t="s">
        <v>301</v>
      </c>
      <c r="B15">
        <v>-86.274509803921603</v>
      </c>
    </row>
    <row r="16" spans="1:2">
      <c r="A16" s="42" t="s">
        <v>376</v>
      </c>
      <c r="B16">
        <v>-95</v>
      </c>
    </row>
    <row r="17" spans="1:2" ht="24">
      <c r="A17" s="42" t="s">
        <v>342</v>
      </c>
      <c r="B17">
        <v>-81</v>
      </c>
    </row>
    <row r="18" spans="1:2">
      <c r="A18" s="42" t="s">
        <v>217</v>
      </c>
      <c r="B18">
        <v>-87.3333333333333</v>
      </c>
    </row>
    <row r="19" spans="1:2">
      <c r="A19" s="42" t="s">
        <v>34</v>
      </c>
      <c r="B19">
        <v>-76.699382265042999</v>
      </c>
    </row>
    <row r="20" spans="1:2" ht="24">
      <c r="A20" s="42" t="s">
        <v>318</v>
      </c>
      <c r="B20">
        <v>-86.5</v>
      </c>
    </row>
    <row r="21" spans="1:2">
      <c r="A21" s="42" t="s">
        <v>369</v>
      </c>
      <c r="B21">
        <v>-55.8</v>
      </c>
    </row>
    <row r="22" spans="1:2" ht="24">
      <c r="A22" s="42" t="s">
        <v>225</v>
      </c>
      <c r="B22">
        <v>-96</v>
      </c>
    </row>
    <row r="23" spans="1:2">
      <c r="A23" s="42" t="s">
        <v>184</v>
      </c>
      <c r="B23">
        <v>-89</v>
      </c>
    </row>
    <row r="24" spans="1:2" ht="24">
      <c r="A24" s="42" t="s">
        <v>317</v>
      </c>
      <c r="B24">
        <v>-96</v>
      </c>
    </row>
    <row r="25" spans="1:2">
      <c r="A25" s="42" t="s">
        <v>226</v>
      </c>
      <c r="B25">
        <v>-22.55</v>
      </c>
    </row>
    <row r="26" spans="1:2">
      <c r="A26" s="42" t="s">
        <v>244</v>
      </c>
      <c r="B26">
        <v>-19.565217391304301</v>
      </c>
    </row>
    <row r="27" spans="1:2">
      <c r="A27" s="42" t="s">
        <v>245</v>
      </c>
      <c r="B27">
        <v>-21.9469565217391</v>
      </c>
    </row>
    <row r="28" spans="1:2">
      <c r="A28" s="42">
        <v>4</v>
      </c>
      <c r="B28">
        <v>-15</v>
      </c>
    </row>
    <row r="29" spans="1:2">
      <c r="A29" s="42" t="s">
        <v>35</v>
      </c>
      <c r="B29">
        <v>-27.470391277451299</v>
      </c>
    </row>
    <row r="30" spans="1:2">
      <c r="A30" s="42">
        <v>6</v>
      </c>
      <c r="B30">
        <v>-24.5</v>
      </c>
    </row>
    <row r="31" spans="1:2">
      <c r="A31" s="42" t="s">
        <v>170</v>
      </c>
      <c r="B31">
        <v>-33</v>
      </c>
    </row>
    <row r="32" spans="1:2">
      <c r="A32" s="42" t="s">
        <v>230</v>
      </c>
      <c r="B32">
        <v>-23.360144927536201</v>
      </c>
    </row>
    <row r="33" spans="1:2">
      <c r="A33" s="42" t="s">
        <v>36</v>
      </c>
      <c r="B33">
        <v>-26.216158366841899</v>
      </c>
    </row>
    <row r="34" spans="1:2">
      <c r="A34" s="42" t="s">
        <v>168</v>
      </c>
      <c r="B34">
        <v>-33.745098039215698</v>
      </c>
    </row>
    <row r="35" spans="1:2">
      <c r="A35" s="42" t="s">
        <v>207</v>
      </c>
      <c r="B35">
        <v>-34</v>
      </c>
    </row>
    <row r="36" spans="1:2">
      <c r="A36" s="42">
        <v>8</v>
      </c>
      <c r="B36">
        <v>-17.5</v>
      </c>
    </row>
    <row r="37" spans="1:2">
      <c r="A37" s="42" t="s">
        <v>233</v>
      </c>
      <c r="B37">
        <v>-24.5409937888199</v>
      </c>
    </row>
    <row r="38" spans="1:2">
      <c r="A38" s="42" t="s">
        <v>310</v>
      </c>
      <c r="B38">
        <v>-36.725490196078397</v>
      </c>
    </row>
    <row r="39" spans="1:2">
      <c r="A39" s="42" t="s">
        <v>360</v>
      </c>
      <c r="B39">
        <v>-50</v>
      </c>
    </row>
    <row r="40" spans="1:2">
      <c r="A40" s="42" t="s">
        <v>361</v>
      </c>
      <c r="B40">
        <v>-50</v>
      </c>
    </row>
    <row r="41" spans="1:2">
      <c r="A41" s="42" t="s">
        <v>362</v>
      </c>
      <c r="B41">
        <v>-50</v>
      </c>
    </row>
    <row r="42" spans="1:2">
      <c r="A42" s="42" t="s">
        <v>273</v>
      </c>
      <c r="B42">
        <v>-20.212765957446798</v>
      </c>
    </row>
    <row r="43" spans="1:2">
      <c r="A43" s="42" t="s">
        <v>37</v>
      </c>
      <c r="B43">
        <v>-31.5080961954841</v>
      </c>
    </row>
    <row r="44" spans="1:2">
      <c r="A44" s="42" t="s">
        <v>344</v>
      </c>
      <c r="B44">
        <v>-31</v>
      </c>
    </row>
    <row r="45" spans="1:2">
      <c r="A45" s="42">
        <v>9</v>
      </c>
      <c r="B45">
        <v>-31.255555555555599</v>
      </c>
    </row>
    <row r="46" spans="1:2">
      <c r="A46" s="42" t="s">
        <v>234</v>
      </c>
      <c r="B46">
        <v>-26.206310472494</v>
      </c>
    </row>
    <row r="47" spans="1:2">
      <c r="A47" s="42" t="s">
        <v>38</v>
      </c>
      <c r="B47">
        <v>-40.497772966285197</v>
      </c>
    </row>
    <row r="48" spans="1:2">
      <c r="A48" s="42" t="s">
        <v>235</v>
      </c>
      <c r="B48">
        <v>-22.8333333333333</v>
      </c>
    </row>
    <row r="49" spans="1:2">
      <c r="A49" s="42" t="s">
        <v>246</v>
      </c>
      <c r="B49">
        <v>-28.260869565217401</v>
      </c>
    </row>
    <row r="50" spans="1:2" ht="24">
      <c r="A50" s="42" t="s">
        <v>345</v>
      </c>
      <c r="B50">
        <v>-19</v>
      </c>
    </row>
    <row r="51" spans="1:2" ht="24">
      <c r="A51" s="42" t="s">
        <v>319</v>
      </c>
      <c r="B51">
        <v>-78</v>
      </c>
    </row>
    <row r="52" spans="1:2">
      <c r="A52" s="42" t="s">
        <v>166</v>
      </c>
      <c r="B52">
        <v>-65</v>
      </c>
    </row>
    <row r="53" spans="1:2">
      <c r="A53" s="42">
        <v>10</v>
      </c>
      <c r="B53">
        <v>-16.6666666666667</v>
      </c>
    </row>
    <row r="54" spans="1:2">
      <c r="A54" s="42" t="s">
        <v>236</v>
      </c>
      <c r="B54">
        <v>-22.65</v>
      </c>
    </row>
    <row r="55" spans="1:2">
      <c r="A55" s="42" t="s">
        <v>169</v>
      </c>
      <c r="B55">
        <v>-38</v>
      </c>
    </row>
    <row r="56" spans="1:2">
      <c r="A56" s="42" t="s">
        <v>171</v>
      </c>
      <c r="B56">
        <v>-35</v>
      </c>
    </row>
    <row r="57" spans="1:2">
      <c r="A57" s="42" t="s">
        <v>247</v>
      </c>
      <c r="B57">
        <v>-21.739130434782599</v>
      </c>
    </row>
    <row r="58" spans="1:2">
      <c r="A58" s="42">
        <v>12</v>
      </c>
      <c r="B58">
        <v>-12</v>
      </c>
    </row>
    <row r="59" spans="1:2">
      <c r="A59" s="42">
        <v>13</v>
      </c>
      <c r="B59">
        <v>-7.5</v>
      </c>
    </row>
    <row r="60" spans="1:2">
      <c r="A60" s="42" t="s">
        <v>248</v>
      </c>
      <c r="B60">
        <v>-26.086956521739101</v>
      </c>
    </row>
    <row r="61" spans="1:2">
      <c r="A61" s="42" t="s">
        <v>293</v>
      </c>
      <c r="B61">
        <v>-15.2</v>
      </c>
    </row>
    <row r="62" spans="1:2">
      <c r="A62" s="42" t="s">
        <v>249</v>
      </c>
      <c r="B62">
        <v>-41.304347826087003</v>
      </c>
    </row>
    <row r="63" spans="1:2">
      <c r="A63" s="42">
        <v>14</v>
      </c>
      <c r="B63">
        <v>-20.52</v>
      </c>
    </row>
    <row r="64" spans="1:2">
      <c r="A64" s="42" t="s">
        <v>354</v>
      </c>
      <c r="B64">
        <v>-54.8</v>
      </c>
    </row>
    <row r="65" spans="1:3">
      <c r="A65" s="42" t="s">
        <v>237</v>
      </c>
      <c r="B65">
        <v>-36.771428571428601</v>
      </c>
    </row>
    <row r="66" spans="1:3">
      <c r="A66" s="42" t="s">
        <v>39</v>
      </c>
      <c r="B66">
        <v>-40.745443860191799</v>
      </c>
    </row>
    <row r="67" spans="1:3">
      <c r="A67" s="42" t="s">
        <v>208</v>
      </c>
      <c r="B67">
        <v>-17</v>
      </c>
    </row>
    <row r="68" spans="1:3">
      <c r="A68" s="42" t="s">
        <v>165</v>
      </c>
      <c r="B68">
        <v>-53</v>
      </c>
    </row>
    <row r="69" spans="1:3">
      <c r="A69" s="42">
        <v>15</v>
      </c>
      <c r="B69">
        <v>-5.5</v>
      </c>
    </row>
    <row r="70" spans="1:3">
      <c r="A70" s="42" t="s">
        <v>250</v>
      </c>
      <c r="B70">
        <v>-23.913043478260899</v>
      </c>
    </row>
    <row r="71" spans="1:3">
      <c r="A71" s="42">
        <v>18</v>
      </c>
      <c r="B71">
        <v>-12.766666666666699</v>
      </c>
    </row>
    <row r="72" spans="1:3">
      <c r="A72" s="42" t="s">
        <v>374</v>
      </c>
      <c r="B72">
        <v>-30</v>
      </c>
    </row>
    <row r="73" spans="1:3">
      <c r="A73" s="42" t="s">
        <v>251</v>
      </c>
      <c r="B73">
        <v>-23.913043478260899</v>
      </c>
    </row>
    <row r="74" spans="1:3">
      <c r="A74" s="42" t="s">
        <v>311</v>
      </c>
      <c r="B74">
        <v>-19.6078431372549</v>
      </c>
    </row>
    <row r="75" spans="1:3">
      <c r="A75" s="42" t="s">
        <v>252</v>
      </c>
      <c r="B75">
        <v>-13.0434782608696</v>
      </c>
    </row>
    <row r="76" spans="1:3">
      <c r="A76" s="42" t="s">
        <v>167</v>
      </c>
      <c r="B76">
        <v>-50</v>
      </c>
    </row>
    <row r="77" spans="1:3">
      <c r="A77" s="42" t="s">
        <v>294</v>
      </c>
      <c r="B77">
        <v>-10.3</v>
      </c>
    </row>
    <row r="78" spans="1:3" ht="24">
      <c r="A78" s="42" t="s">
        <v>320</v>
      </c>
      <c r="B78">
        <v>-78</v>
      </c>
    </row>
    <row r="79" spans="1:3">
      <c r="A79" s="44" t="s">
        <v>40</v>
      </c>
      <c r="C79">
        <v>21.273082276523354</v>
      </c>
    </row>
    <row r="80" spans="1:3">
      <c r="A80" s="44" t="s">
        <v>196</v>
      </c>
      <c r="C80">
        <v>11.319148936170212</v>
      </c>
    </row>
    <row r="81" spans="1:3">
      <c r="A81" s="44" t="s">
        <v>177</v>
      </c>
      <c r="C81">
        <v>31</v>
      </c>
    </row>
    <row r="82" spans="1:3">
      <c r="A82" s="44" t="s">
        <v>253</v>
      </c>
      <c r="C82">
        <v>17.391304347826086</v>
      </c>
    </row>
    <row r="83" spans="1:3">
      <c r="A83" s="44" t="s">
        <v>254</v>
      </c>
      <c r="C83">
        <v>19.565217391304348</v>
      </c>
    </row>
    <row r="84" spans="1:3">
      <c r="A84" s="44">
        <v>1</v>
      </c>
      <c r="C84">
        <v>19</v>
      </c>
    </row>
    <row r="85" spans="1:3">
      <c r="A85" s="44" t="s">
        <v>295</v>
      </c>
      <c r="C85">
        <v>20.399999999999999</v>
      </c>
    </row>
    <row r="86" spans="1:3">
      <c r="A86" s="44" t="s">
        <v>41</v>
      </c>
      <c r="C86">
        <v>28.572974017939998</v>
      </c>
    </row>
    <row r="87" spans="1:3">
      <c r="A87" s="44" t="s">
        <v>226</v>
      </c>
      <c r="C87">
        <v>17</v>
      </c>
    </row>
    <row r="88" spans="1:3">
      <c r="A88" s="44" t="s">
        <v>205</v>
      </c>
      <c r="C88">
        <v>11</v>
      </c>
    </row>
    <row r="89" spans="1:3">
      <c r="A89" s="44" t="s">
        <v>255</v>
      </c>
      <c r="C89">
        <v>15.217391304347828</v>
      </c>
    </row>
    <row r="90" spans="1:3">
      <c r="A90" s="44" t="s">
        <v>256</v>
      </c>
      <c r="C90">
        <v>17.391304347826086</v>
      </c>
    </row>
    <row r="91" spans="1:3">
      <c r="A91" s="44" t="s">
        <v>257</v>
      </c>
      <c r="C91">
        <v>13.043478260869565</v>
      </c>
    </row>
    <row r="92" spans="1:3" ht="24">
      <c r="A92" s="44" t="s">
        <v>321</v>
      </c>
      <c r="C92">
        <v>41</v>
      </c>
    </row>
    <row r="93" spans="1:3" ht="24">
      <c r="A93" s="44" t="s">
        <v>322</v>
      </c>
      <c r="C93">
        <v>41</v>
      </c>
    </row>
    <row r="94" spans="1:3">
      <c r="A94" s="44">
        <v>5</v>
      </c>
      <c r="C94">
        <v>25.883333333333336</v>
      </c>
    </row>
    <row r="95" spans="1:3">
      <c r="A95" s="44" t="s">
        <v>229</v>
      </c>
      <c r="C95">
        <v>43.660000000000004</v>
      </c>
    </row>
    <row r="96" spans="1:3">
      <c r="A96" s="44" t="s">
        <v>209</v>
      </c>
      <c r="C96">
        <v>34</v>
      </c>
    </row>
    <row r="97" spans="1:3">
      <c r="A97" s="44" t="s">
        <v>323</v>
      </c>
      <c r="C97">
        <v>25.490196078431371</v>
      </c>
    </row>
    <row r="98" spans="1:3" ht="24">
      <c r="A98" s="44" t="s">
        <v>324</v>
      </c>
      <c r="C98">
        <v>41</v>
      </c>
    </row>
    <row r="99" spans="1:3" ht="24">
      <c r="A99" s="44" t="s">
        <v>325</v>
      </c>
      <c r="C99">
        <v>41</v>
      </c>
    </row>
    <row r="100" spans="1:3" ht="24">
      <c r="A100" s="44" t="s">
        <v>326</v>
      </c>
      <c r="C100">
        <v>41</v>
      </c>
    </row>
    <row r="101" spans="1:3">
      <c r="A101" s="44" t="s">
        <v>174</v>
      </c>
      <c r="C101">
        <v>52</v>
      </c>
    </row>
    <row r="102" spans="1:3">
      <c r="A102" s="44" t="s">
        <v>258</v>
      </c>
      <c r="C102">
        <v>26.782608695652172</v>
      </c>
    </row>
    <row r="103" spans="1:3">
      <c r="A103" s="44" t="s">
        <v>327</v>
      </c>
      <c r="C103">
        <v>41</v>
      </c>
    </row>
    <row r="104" spans="1:3" ht="24">
      <c r="A104" s="44" t="s">
        <v>351</v>
      </c>
      <c r="C104">
        <v>48</v>
      </c>
    </row>
    <row r="105" spans="1:3">
      <c r="A105" s="44" t="s">
        <v>172</v>
      </c>
      <c r="C105">
        <v>50</v>
      </c>
    </row>
    <row r="106" spans="1:3">
      <c r="A106" s="44" t="s">
        <v>210</v>
      </c>
      <c r="C106">
        <v>39.5</v>
      </c>
    </row>
    <row r="107" spans="1:3">
      <c r="A107" s="44" t="s">
        <v>218</v>
      </c>
      <c r="C107">
        <v>68</v>
      </c>
    </row>
    <row r="108" spans="1:3">
      <c r="A108" s="44" t="s">
        <v>302</v>
      </c>
      <c r="C108">
        <v>52.941176470588239</v>
      </c>
    </row>
    <row r="109" spans="1:3">
      <c r="A109" s="44" t="s">
        <v>42</v>
      </c>
      <c r="C109">
        <v>53.358478966903803</v>
      </c>
    </row>
    <row r="110" spans="1:3">
      <c r="A110" s="44" t="s">
        <v>286</v>
      </c>
      <c r="C110">
        <v>21.55</v>
      </c>
    </row>
    <row r="111" spans="1:3">
      <c r="A111" s="44">
        <v>7</v>
      </c>
      <c r="C111">
        <v>27.516666666666666</v>
      </c>
    </row>
    <row r="112" spans="1:3">
      <c r="A112" s="44" t="s">
        <v>231</v>
      </c>
      <c r="C112">
        <v>18.7</v>
      </c>
    </row>
    <row r="113" spans="1:3">
      <c r="A113" s="44" t="s">
        <v>259</v>
      </c>
      <c r="C113">
        <v>19.565217391304348</v>
      </c>
    </row>
    <row r="114" spans="1:3">
      <c r="A114" s="44" t="s">
        <v>303</v>
      </c>
      <c r="C114">
        <v>23.52941176470588</v>
      </c>
    </row>
    <row r="115" spans="1:3" ht="24">
      <c r="A115" s="44" t="s">
        <v>328</v>
      </c>
      <c r="C115">
        <v>41</v>
      </c>
    </row>
    <row r="116" spans="1:3">
      <c r="A116" s="44" t="s">
        <v>232</v>
      </c>
      <c r="C116">
        <v>25.733333333333334</v>
      </c>
    </row>
    <row r="117" spans="1:3">
      <c r="A117" s="44" t="s">
        <v>260</v>
      </c>
      <c r="C117">
        <v>15.217391304347828</v>
      </c>
    </row>
    <row r="118" spans="1:3">
      <c r="A118" s="44" t="s">
        <v>211</v>
      </c>
      <c r="C118">
        <v>9</v>
      </c>
    </row>
    <row r="119" spans="1:3" ht="24">
      <c r="A119" s="44" t="s">
        <v>340</v>
      </c>
      <c r="C119">
        <v>35</v>
      </c>
    </row>
    <row r="120" spans="1:3" ht="24">
      <c r="A120" s="44" t="s">
        <v>329</v>
      </c>
      <c r="C120">
        <v>41</v>
      </c>
    </row>
    <row r="121" spans="1:3">
      <c r="A121" s="44" t="s">
        <v>330</v>
      </c>
      <c r="C121">
        <v>41</v>
      </c>
    </row>
    <row r="122" spans="1:3">
      <c r="A122" s="44" t="s">
        <v>261</v>
      </c>
      <c r="C122">
        <v>39.130434782608695</v>
      </c>
    </row>
    <row r="123" spans="1:3">
      <c r="A123" s="44" t="s">
        <v>43</v>
      </c>
      <c r="C123">
        <v>34.748229198886484</v>
      </c>
    </row>
    <row r="124" spans="1:3" ht="24">
      <c r="A124" s="44" t="s">
        <v>331</v>
      </c>
      <c r="C124">
        <v>41</v>
      </c>
    </row>
    <row r="125" spans="1:3">
      <c r="A125" s="44" t="s">
        <v>173</v>
      </c>
      <c r="C125">
        <v>40</v>
      </c>
    </row>
    <row r="126" spans="1:3">
      <c r="A126" s="44" t="s">
        <v>296</v>
      </c>
      <c r="C126">
        <v>13.25</v>
      </c>
    </row>
    <row r="127" spans="1:3">
      <c r="A127" s="44" t="s">
        <v>262</v>
      </c>
      <c r="C127">
        <v>19.565217391304348</v>
      </c>
    </row>
    <row r="128" spans="1:3">
      <c r="A128" s="44" t="s">
        <v>44</v>
      </c>
      <c r="C128">
        <v>25.076214042684814</v>
      </c>
    </row>
    <row r="129" spans="1:3">
      <c r="A129" s="44" t="s">
        <v>263</v>
      </c>
      <c r="C129">
        <v>21.739130434782609</v>
      </c>
    </row>
    <row r="130" spans="1:3">
      <c r="A130" s="44" t="s">
        <v>264</v>
      </c>
      <c r="C130">
        <v>10.869565217391305</v>
      </c>
    </row>
    <row r="131" spans="1:3">
      <c r="A131" s="44">
        <v>11</v>
      </c>
      <c r="C131">
        <v>6</v>
      </c>
    </row>
    <row r="132" spans="1:3" ht="24">
      <c r="A132" s="44" t="s">
        <v>332</v>
      </c>
      <c r="C132">
        <v>41</v>
      </c>
    </row>
    <row r="133" spans="1:3">
      <c r="A133" s="44" t="s">
        <v>333</v>
      </c>
      <c r="C133">
        <v>41</v>
      </c>
    </row>
    <row r="134" spans="1:3">
      <c r="A134" s="44">
        <v>12</v>
      </c>
      <c r="C134">
        <v>15.166666666666666</v>
      </c>
    </row>
    <row r="135" spans="1:3">
      <c r="A135" s="44" t="s">
        <v>297</v>
      </c>
      <c r="C135">
        <v>6.4</v>
      </c>
    </row>
    <row r="136" spans="1:3">
      <c r="A136" s="44" t="s">
        <v>45</v>
      </c>
      <c r="C136">
        <v>26.897933807609036</v>
      </c>
    </row>
    <row r="137" spans="1:3">
      <c r="A137" s="44" t="s">
        <v>265</v>
      </c>
      <c r="C137">
        <v>15.217391304347828</v>
      </c>
    </row>
    <row r="138" spans="1:3">
      <c r="A138" s="44" t="s">
        <v>334</v>
      </c>
      <c r="C138">
        <v>41</v>
      </c>
    </row>
    <row r="139" spans="1:3" ht="24">
      <c r="A139" s="44" t="s">
        <v>212</v>
      </c>
      <c r="C139">
        <v>19</v>
      </c>
    </row>
    <row r="140" spans="1:3">
      <c r="A140" s="44" t="s">
        <v>304</v>
      </c>
      <c r="C140">
        <v>23.52941176470588</v>
      </c>
    </row>
    <row r="141" spans="1:3" ht="24">
      <c r="A141" s="44" t="s">
        <v>305</v>
      </c>
      <c r="C141">
        <v>39.215686274509807</v>
      </c>
    </row>
    <row r="142" spans="1:3">
      <c r="A142" s="44" t="s">
        <v>266</v>
      </c>
      <c r="C142">
        <v>30.434782608695656</v>
      </c>
    </row>
    <row r="143" spans="1:3" ht="24">
      <c r="A143" s="44" t="s">
        <v>335</v>
      </c>
      <c r="C143">
        <v>41</v>
      </c>
    </row>
    <row r="144" spans="1:3">
      <c r="A144" s="44" t="s">
        <v>298</v>
      </c>
      <c r="C144">
        <v>5.2</v>
      </c>
    </row>
    <row r="145" spans="1:3">
      <c r="A145" s="44" t="s">
        <v>175</v>
      </c>
      <c r="C145">
        <v>49</v>
      </c>
    </row>
    <row r="146" spans="1:3" ht="24">
      <c r="A146" s="44" t="s">
        <v>336</v>
      </c>
      <c r="C146">
        <v>41</v>
      </c>
    </row>
    <row r="147" spans="1:3">
      <c r="A147" s="44">
        <v>16</v>
      </c>
      <c r="C147">
        <v>11.5</v>
      </c>
    </row>
    <row r="148" spans="1:3">
      <c r="A148" s="44" t="s">
        <v>267</v>
      </c>
      <c r="C148">
        <v>15.217391304347828</v>
      </c>
    </row>
    <row r="149" spans="1:3" ht="24">
      <c r="A149" s="44" t="s">
        <v>341</v>
      </c>
      <c r="C149">
        <v>19</v>
      </c>
    </row>
    <row r="150" spans="1:3">
      <c r="A150" s="44" t="s">
        <v>306</v>
      </c>
      <c r="C150">
        <v>19.607843137254903</v>
      </c>
    </row>
    <row r="151" spans="1:3">
      <c r="A151" s="44" t="s">
        <v>375</v>
      </c>
      <c r="C151">
        <v>32</v>
      </c>
    </row>
    <row r="152" spans="1:3" ht="24">
      <c r="A152" s="44" t="s">
        <v>337</v>
      </c>
      <c r="C152">
        <v>41</v>
      </c>
    </row>
    <row r="153" spans="1:3" ht="24">
      <c r="A153" s="44" t="s">
        <v>307</v>
      </c>
      <c r="C153">
        <v>25.490196078431371</v>
      </c>
    </row>
    <row r="154" spans="1:3">
      <c r="A154" s="44" t="s">
        <v>268</v>
      </c>
      <c r="C154">
        <v>23.913043478260871</v>
      </c>
    </row>
    <row r="155" spans="1:3">
      <c r="A155" s="44">
        <v>17</v>
      </c>
      <c r="C155">
        <v>28</v>
      </c>
    </row>
    <row r="156" spans="1:3">
      <c r="A156" s="44" t="s">
        <v>250</v>
      </c>
      <c r="C156">
        <v>13.043478260869565</v>
      </c>
    </row>
    <row r="157" spans="1:3">
      <c r="A157" s="44" t="s">
        <v>269</v>
      </c>
      <c r="C157">
        <v>21.739130434782609</v>
      </c>
    </row>
    <row r="158" spans="1:3">
      <c r="A158" s="44" t="s">
        <v>178</v>
      </c>
      <c r="C158">
        <v>26</v>
      </c>
    </row>
    <row r="159" spans="1:3">
      <c r="A159" s="44">
        <v>18</v>
      </c>
      <c r="C159">
        <v>6</v>
      </c>
    </row>
    <row r="160" spans="1:3">
      <c r="A160" s="44">
        <v>19</v>
      </c>
      <c r="C160">
        <v>14.574999999999999</v>
      </c>
    </row>
    <row r="161" spans="1:3">
      <c r="A161" s="44" t="s">
        <v>338</v>
      </c>
      <c r="C161">
        <v>44</v>
      </c>
    </row>
    <row r="162" spans="1:3">
      <c r="A162" s="44">
        <v>20</v>
      </c>
      <c r="C162">
        <v>13.166666666666666</v>
      </c>
    </row>
    <row r="163" spans="1:3">
      <c r="A163" s="44" t="s">
        <v>270</v>
      </c>
      <c r="C163">
        <v>17.391304347826086</v>
      </c>
    </row>
    <row r="164" spans="1:3">
      <c r="A164" s="44" t="s">
        <v>197</v>
      </c>
      <c r="C164">
        <v>14.15</v>
      </c>
    </row>
    <row r="165" spans="1:3" ht="24">
      <c r="A165" s="44" t="s">
        <v>308</v>
      </c>
      <c r="C165">
        <v>19.607843137254903</v>
      </c>
    </row>
    <row r="166" spans="1:3">
      <c r="A166" s="44" t="s">
        <v>271</v>
      </c>
      <c r="C166">
        <v>36.95652173913043</v>
      </c>
    </row>
    <row r="167" spans="1:3">
      <c r="A167" s="44" t="s">
        <v>309</v>
      </c>
      <c r="C167">
        <v>29.411764705882355</v>
      </c>
    </row>
    <row r="168" spans="1:3">
      <c r="A168" s="44" t="s">
        <v>46</v>
      </c>
      <c r="C168">
        <v>39.921419733993197</v>
      </c>
    </row>
    <row r="169" spans="1:3">
      <c r="A169" s="44">
        <v>21</v>
      </c>
      <c r="C169">
        <v>7</v>
      </c>
    </row>
    <row r="170" spans="1:3">
      <c r="A170" s="44">
        <v>22</v>
      </c>
      <c r="C170">
        <v>6</v>
      </c>
    </row>
    <row r="171" spans="1:3">
      <c r="A171" s="44" t="s">
        <v>176</v>
      </c>
      <c r="C171">
        <v>44</v>
      </c>
    </row>
    <row r="172" spans="1:3" ht="24">
      <c r="A172" s="44" t="s">
        <v>339</v>
      </c>
      <c r="C172">
        <v>44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Synthesis</vt:lpstr>
      <vt:lpstr>Gene mutation</vt:lpstr>
      <vt:lpstr>Acral et non acral</vt:lpstr>
      <vt:lpstr>Sheet6</vt:lpstr>
      <vt:lpstr>Synthese articles</vt:lpstr>
      <vt:lpstr>Sheet9</vt:lpstr>
      <vt:lpstr>Sheet5</vt:lpstr>
      <vt:lpstr>VHL Methylation</vt:lpstr>
      <vt:lpstr>Gerlinger 2014</vt:lpstr>
      <vt:lpstr>Sheet4</vt:lpstr>
      <vt:lpstr>Gerlinger 2014 CNV</vt:lpstr>
      <vt:lpstr>sato.2013</vt:lpstr>
      <vt:lpstr>Ginger 2012</vt:lpstr>
      <vt:lpstr>Liu 2019</vt:lpstr>
      <vt:lpstr>Warsow 2018</vt: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Oanh Bui</dc:creator>
  <cp:lastModifiedBy>Hoang Manh Duc</cp:lastModifiedBy>
  <dcterms:created xsi:type="dcterms:W3CDTF">2021-01-13T05:29:31Z</dcterms:created>
  <dcterms:modified xsi:type="dcterms:W3CDTF">2026-03-09T18:26:06Z</dcterms:modified>
</cp:coreProperties>
</file>